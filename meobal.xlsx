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 sheetId="1" r:id="rId5"/>
    <sheet state="visible" name="Race" sheetId="2" r:id="rId6"/>
    <sheet state="visible" name="Subrace" sheetId="3" r:id="rId7"/>
    <sheet state="visible" name="ATK" sheetId="4" r:id="rId8"/>
    <sheet state="visible" name="SPD" sheetId="5" r:id="rId9"/>
    <sheet state="visible" name="HP" sheetId="6" r:id="rId10"/>
    <sheet state="visible" name="IQ" sheetId="7" r:id="rId11"/>
    <sheet state="visible" name="BIQ" sheetId="8" r:id="rId12"/>
    <sheet state="visible" name="Weapon Mastery Martial Arts" sheetId="9" r:id="rId13"/>
    <sheet state="visible" name="Generated Wheel" sheetId="10" r:id="rId14"/>
    <sheet state="visible" name="Gear Wheel" sheetId="11" r:id="rId15"/>
    <sheet state="visible" name="Gear" sheetId="12" r:id="rId16"/>
    <sheet state="visible" name="Skill Wheel" sheetId="13" r:id="rId17"/>
    <sheet state="visible" name="Skill" sheetId="14" r:id="rId18"/>
    <sheet state="visible" name="Weapon wheel " sheetId="15" r:id="rId19"/>
    <sheet state="visible" name="Weapons" sheetId="16" r:id="rId20"/>
  </sheets>
  <definedNames/>
  <calcPr/>
</workbook>
</file>

<file path=xl/sharedStrings.xml><?xml version="1.0" encoding="utf-8"?>
<sst xmlns="http://schemas.openxmlformats.org/spreadsheetml/2006/main" count="843" uniqueCount="482">
  <si>
    <t>stat</t>
  </si>
  <si>
    <t>Cách hoạt động</t>
  </si>
  <si>
    <t>ATK</t>
  </si>
  <si>
    <t>Gây sát thương bằng số ATK</t>
  </si>
  <si>
    <t>HP</t>
  </si>
  <si>
    <t>Với mỗi HP base và HP cộng thêm thì 1HP = 10 điểm HP</t>
  </si>
  <si>
    <t>SPD</t>
  </si>
  <si>
    <t>Tốc độ ban đầu và khả năng gia tốc nhanh hơn 10% với mỗi 1 điểm cách biệt</t>
  </si>
  <si>
    <t>IQ</t>
  </si>
  <si>
    <t>Giảm hồi chiêu của skill 0.1s với mỗi điểm IQ</t>
  </si>
  <si>
    <t>BIQ</t>
  </si>
  <si>
    <t>Tăng tốc độ bắn nếu dùng vũ khí tầm xa, Tăng tốc độ quay với vũ khí tầm gần.Nếu không có vũ khí thì nhận 3.6% khả băng parry vũ khí của đói thủ với mỗi 1 điểm chỉ số.</t>
  </si>
  <si>
    <t>Weapon Mastery/ Martial arts</t>
  </si>
  <si>
    <t xml:space="preserve">Khi đạt một mốc nhất định tùy vũ khí sẽ nhận được hiệu quả mà mốc đó mang lại, nếu thấp hơn mốc sẽ lấy hiệu quả của mốc thấp hơn gần nhất, xóa đi mốc cũ khi đạt được mốc mới.
Nếu không có vũ khí chỉ số này sẽ thành Martial Arts  </t>
  </si>
  <si>
    <t xml:space="preserve">**Quy tắc:
+ ATK, HP , SPD, BIQ không thể nhỏ hơn 1 với mọi debuff.
+ Tốc độ được tăng liên tục cho đến khi thực hiện đòn đánh trúng đích hoặc bị đánh trúng (trừ unarmed).
+ Bản đồ là một ô vuông.
+ Trận đấu sẽ dừng lại khi chỉ có 1 đối thủ có số máu không phải là 0, hoặc khi quá 3p trận đấu sẽ dừng lại và tùy vào số điểm HP còn lại quyết định kết quả trận đấu. </t>
  </si>
  <si>
    <t>Race</t>
  </si>
  <si>
    <t>Trọng số</t>
  </si>
  <si>
    <t>Sub-race Wheel?</t>
  </si>
  <si>
    <t xml:space="preserve">Trait </t>
  </si>
  <si>
    <t>robot</t>
  </si>
  <si>
    <t>Quay 1 robot</t>
  </si>
  <si>
    <t>mỗi lần va chạm sẽ có tỉ lệ 50% +1 stat có chỉ số thấp nhất</t>
  </si>
  <si>
    <t>Goblin</t>
  </si>
  <si>
    <t>Goblin Horde</t>
  </si>
  <si>
    <t>Cứ mỗi 1000 sẽ có thêm 1 clone (chỉ kế thừa base stat của bản thể không có vũ khí, kỹ năng,...) khi goblin khác nếu thắng sẽ có 20% thu nhận một nửa đàn goblin của kẻ địch.</t>
  </si>
  <si>
    <t>Gnome</t>
  </si>
  <si>
    <t>Không có 💀</t>
  </si>
  <si>
    <t>Human</t>
  </si>
  <si>
    <t>Skin Color</t>
  </si>
  <si>
    <t>Dwarf</t>
  </si>
  <si>
    <t>Dwarf's Type</t>
  </si>
  <si>
    <t>Skeleton</t>
  </si>
  <si>
    <t>Bone Lineage</t>
  </si>
  <si>
    <t>Sau 2 trận PvP thắng, tiến hóa thành Lich, IQ được cố định thành 8.
Sau 4 trận thắng PvP, tiến hóa thành Lich King, nhận +1 all stats.
Ban đầu IQ được cố định là 1.</t>
  </si>
  <si>
    <t>Troll</t>
  </si>
  <si>
    <t>Troll's Type</t>
  </si>
  <si>
    <t>Orc</t>
  </si>
  <si>
    <t>Nhận +2 vào chỉ số thấp nhất khi thắng và -3 vào chỉ số cao nhất khi thua.</t>
  </si>
  <si>
    <t>Merfolk</t>
  </si>
  <si>
    <t>Người chơi được +1 atk, hp,BIQ cho mỗi skill liên quan tới nước</t>
  </si>
  <si>
    <t>Dryad</t>
  </si>
  <si>
    <t>Khi mỗi Dryad chết đi, một Dryad ngẫu nhiên còn sống sẽ nhận +2 vào 1 chỉ số ngẫu nhiên.
Khi chỉ còn duy nhất 1 Dryad, người đó tiến hóa thành Yggdrasil và +9 Base vào 1 chỉ số ngẫu nhiên.( chỉ áp dụng cho chế độ có &gt;10 player</t>
  </si>
  <si>
    <t>Elf</t>
  </si>
  <si>
    <t>Elf's Type</t>
  </si>
  <si>
    <t>Spirit</t>
  </si>
  <si>
    <t xml:space="preserve">Mỗi khi mất 10 hp, nhận 1 stack "Souls" (stack vĩnh viễn). Nhận hiệu ứng tương đương với số stack ở dưới (bao gồm cả các mốc trước đó)
6 Stack: Nhận +2 BIQ.
9 Stack: Nhận 1 Skill ngẫu nhiên.
13 Stack: Nhận +1 all stats.
20 Stack: Gấp đôi tất cả các hiệu ứng trước đó.
</t>
  </si>
  <si>
    <t>Alien</t>
  </si>
  <si>
    <t>Ben 10</t>
  </si>
  <si>
    <t>Không thể cầm vũ khí.</t>
  </si>
  <si>
    <t>Werebeast</t>
  </si>
  <si>
    <t>Beast's Type</t>
  </si>
  <si>
    <t>Vampire</t>
  </si>
  <si>
    <t>Body Count</t>
  </si>
  <si>
    <t>Nhận vòng quay "Khẩu vị độc đáo".</t>
  </si>
  <si>
    <t>Giant</t>
  </si>
  <si>
    <t>Nhận +5 IQ nếu sau vòng quay base stats IQ &gt; atk. (Và -5 atk)
Nhận +5 atk nếu sau vòng quay base stats atk &gt; IQ. (Và -5 IQ)
Nếu cả hai bằng nhau sau vòng quay base stats, nhận +3 atk và IQ.</t>
  </si>
  <si>
    <t>Dragon</t>
  </si>
  <si>
    <t>Dragon's Type</t>
  </si>
  <si>
    <t>Abnomality</t>
  </si>
  <si>
    <t>Damage type</t>
  </si>
  <si>
    <t>Angel</t>
  </si>
  <si>
    <t>Angel Rank</t>
  </si>
  <si>
    <t>Nhận Archetype "Pacifist" từ đầu (sẽ nhận thêm một Archetype nữa).</t>
  </si>
  <si>
    <t>Demi-God</t>
  </si>
  <si>
    <t>God's Gifts</t>
  </si>
  <si>
    <t>Nhận +1 all stats khi đối đầu với Human và -1 all stats khi đối đầu với God.</t>
  </si>
  <si>
    <t>Primordial Being</t>
  </si>
  <si>
    <t>Elemental Wheel</t>
  </si>
  <si>
    <t>Cứ mỗi khi thắng Combat, nhận lại Elemental Wheel một lần nữa</t>
  </si>
  <si>
    <t>Demon</t>
  </si>
  <si>
    <t>Sins Wheel</t>
  </si>
  <si>
    <t>God</t>
  </si>
  <si>
    <t>Which God?</t>
  </si>
  <si>
    <t>God's Gift</t>
  </si>
  <si>
    <t>Sin Wheel</t>
  </si>
  <si>
    <t>Dwarf Type</t>
  </si>
  <si>
    <t xml:space="preserve"> Body Count</t>
  </si>
  <si>
    <t>Bone Leniage</t>
  </si>
  <si>
    <t>Ben10</t>
  </si>
  <si>
    <t>Stt</t>
  </si>
  <si>
    <t>Số lượng</t>
  </si>
  <si>
    <t>Hiệu ứng</t>
  </si>
  <si>
    <t>Type</t>
  </si>
  <si>
    <t>Đặc điểm</t>
  </si>
  <si>
    <t>Demon's Sin</t>
  </si>
  <si>
    <t>Màu da</t>
  </si>
  <si>
    <t>Elemental</t>
  </si>
  <si>
    <t>Quay lại vòng quay race ( loại tộc bỏ xương và chia đều lại trọng số) quay được tộc nào sẽ làm xương của tốc đó được quay sub race và vòng quay chỉ số của tộc trừ IQ</t>
  </si>
  <si>
    <t>Alien nào?</t>
  </si>
  <si>
    <t>Sức mạnh.</t>
  </si>
  <si>
    <t>Nhận -1 all stats.
Sau mỗi combat PvP thắng, nhận +1 all stats.</t>
  </si>
  <si>
    <t>Regular Troll</t>
  </si>
  <si>
    <t>Một con Troll thường 💀</t>
  </si>
  <si>
    <t>Wereraven</t>
  </si>
  <si>
    <t xml:space="preserve"> Nhận +2 IQ, +2 BIQ.</t>
  </si>
  <si>
    <t>Crimson Dragon</t>
  </si>
  <si>
    <t xml:space="preserve"> Nhận +2 Base IQ và +1 Base Hp.</t>
  </si>
  <si>
    <t>Cursed Sword</t>
  </si>
  <si>
    <t>-1 All Stat</t>
  </si>
  <si>
    <t>Lucifer</t>
  </si>
  <si>
    <t>Nhận Archetype "Egoist".
Vòng quay Skill trong quá trình tạo nhân vật sẽ đạt kết quả tối đa (4).</t>
  </si>
  <si>
    <t>Trắng</t>
  </si>
  <si>
    <t>Chắc chắn dùng được tất cả vũ khí và chắc chắn có vũ khí.</t>
  </si>
  <si>
    <t>High Elf</t>
  </si>
  <si>
    <t>Nhận +2 Base IQ.</t>
  </si>
  <si>
    <t>Lùn núi (Mountain)</t>
  </si>
  <si>
    <t>Nhận +3 atk.</t>
  </si>
  <si>
    <t>Air</t>
  </si>
  <si>
    <t>Nhận Skill "Tornado", Nhận +1 Speed, Nhận thêm +2 Stat thấp nhất</t>
  </si>
  <si>
    <t>Angels</t>
  </si>
  <si>
    <t>Không có gì đặc biệt 💀</t>
  </si>
  <si>
    <t>red</t>
  </si>
  <si>
    <t>atk +3</t>
  </si>
  <si>
    <t>Nhận -1 all stats</t>
  </si>
  <si>
    <t>Four-arm</t>
  </si>
  <si>
    <t>Nhận +4 atk , +4 Hp</t>
  </si>
  <si>
    <t>Nhận -1 all stats.</t>
  </si>
  <si>
    <t>Ice Troll</t>
  </si>
  <si>
    <r>
      <rPr>
        <rFont val="Arial"/>
        <b/>
        <color theme="1"/>
        <sz val="12.0"/>
      </rPr>
      <t>Trong combat:</t>
    </r>
    <r>
      <rPr>
        <rFont val="Arial"/>
        <color theme="1"/>
        <sz val="12.0"/>
      </rPr>
      <t xml:space="preserve"> </t>
    </r>
    <r>
      <rPr>
        <rFont val="Arial"/>
        <b/>
        <color theme="1"/>
        <sz val="12.0"/>
      </rPr>
      <t>Debuff:</t>
    </r>
    <r>
      <rPr>
        <rFont val="Arial"/>
        <color theme="1"/>
        <sz val="12.0"/>
      </rPr>
      <t xml:space="preserve"> Đối thủ -2 Spd</t>
    </r>
  </si>
  <si>
    <t>Werewolf</t>
  </si>
  <si>
    <t xml:space="preserve"> Nhận thêm +2 atk .</t>
  </si>
  <si>
    <t>Stone Dragon</t>
  </si>
  <si>
    <t xml:space="preserve">Nhận +2 Base Hp </t>
  </si>
  <si>
    <t>War</t>
  </si>
  <si>
    <t>Beelzebub</t>
  </si>
  <si>
    <t>Nhận -1 spd với mỗi 2 hp.
1 chỉ số ngẫu nhiên sẽ mặc định đạt kết quả tối đa (10).</t>
  </si>
  <si>
    <t xml:space="preserve">Vàng </t>
  </si>
  <si>
    <t>Base IQ không thể dưới 5, nếu quay ra dưới 5 sẽ quay lại đến khi nào trên hoặc bằng 5 thì thôi.</t>
  </si>
  <si>
    <t>Dark Elf</t>
  </si>
  <si>
    <t>Nhận +2 Base BIQ.</t>
  </si>
  <si>
    <t>Lùn xám (Gray)</t>
  </si>
  <si>
    <t>Nhận +3 Hp.</t>
  </si>
  <si>
    <t>Water</t>
  </si>
  <si>
    <t>Nhận Skill "Water Breathing", Nhận +1 BIQ, Nhận thêm +2 Stat cao nhất</t>
  </si>
  <si>
    <t>Archangels</t>
  </si>
  <si>
    <t>Nhận +2 Speed và +1 IQ.</t>
  </si>
  <si>
    <t xml:space="preserve">White </t>
  </si>
  <si>
    <t xml:space="preserve"> Cứ 5 đòn trúng địch sẽ- 1 IQ của địch trong combat </t>
  </si>
  <si>
    <t>10+</t>
  </si>
  <si>
    <t>Diamond-head</t>
  </si>
  <si>
    <t>Nhận +5 Hp</t>
  </si>
  <si>
    <t>Bạn là 1 con Goblin (không có gì xảy ra 🤯)</t>
  </si>
  <si>
    <t>Mountain Troll</t>
  </si>
  <si>
    <t>Nhận +3 Hp</t>
  </si>
  <si>
    <t>Wererat</t>
  </si>
  <si>
    <t xml:space="preserve"> Nhận +1 BIQ, nhận "Shrinking".</t>
  </si>
  <si>
    <t>Amethyst Dragon</t>
  </si>
  <si>
    <t>Nhận -1 All Stats, nhận 4 Skill</t>
  </si>
  <si>
    <t>Love</t>
  </si>
  <si>
    <t>Nhận -2 vào atk và +1 Hp.</t>
  </si>
  <si>
    <t>Leviathan</t>
  </si>
  <si>
    <t>Quay 6 người chơi (nếu không đủ, quay nhiều nhất có thể) nhận Gear: Leviathan's Mark.
Khi tất cả người cầm "Leviathan's Mark" bị loại, nhận +6 vào chỉ số thấp nhất.</t>
  </si>
  <si>
    <t>Đen</t>
  </si>
  <si>
    <t>Base Hp không thể dưới 5, nếu quay ra dưới 5 sẽ quay lại đến khi nào trên hoặc bằng 5 thì thôi.</t>
  </si>
  <si>
    <t>Wood Elf</t>
  </si>
  <si>
    <t>Nhận 1 random Skill và +1 BIQ</t>
  </si>
  <si>
    <t>Cổ Lùn (Ancient)</t>
  </si>
  <si>
    <t>Nhận +2 Speed, +2 BIQ và +2 MA.</t>
  </si>
  <si>
    <t>Fire</t>
  </si>
  <si>
    <t>Nhận Skill "Incineration", Nhận +1 Weapon Mastery,  Nhận thêm 1 Skill</t>
  </si>
  <si>
    <t>Principalities</t>
  </si>
  <si>
    <t>Nhận +2 Vào stat thấp nhất.</t>
  </si>
  <si>
    <t>Black</t>
  </si>
  <si>
    <t>Nhận sau 3 đòn trừ đồng thời giảm 3 hp  và -1 IQ của đối thủ trong combat</t>
  </si>
  <si>
    <t>50+</t>
  </si>
  <si>
    <t>XLR-8</t>
  </si>
  <si>
    <t>Nhận +10 Spd</t>
  </si>
  <si>
    <t>Nhận +1 atk.</t>
  </si>
  <si>
    <t>Lich Troll</t>
  </si>
  <si>
    <t>Nhận 1 Skill của player đã chết sau mỗi trận đấu.</t>
  </si>
  <si>
    <t>Werebear</t>
  </si>
  <si>
    <t>Nhận +2 HP ,+2 ATK.</t>
  </si>
  <si>
    <t>Ancient Dragon</t>
  </si>
  <si>
    <r>
      <rPr>
        <rFont val="Arial"/>
        <b/>
        <color theme="1"/>
        <sz val="12.0"/>
      </rPr>
      <t xml:space="preserve">Trong combat: </t>
    </r>
    <r>
      <rPr>
        <rFont val="Arial"/>
        <b val="0"/>
        <color theme="1"/>
        <sz val="12.0"/>
      </rPr>
      <t>Vô hiệu hóa vũ khí của đối phương.</t>
    </r>
  </si>
  <si>
    <t>Time</t>
  </si>
  <si>
    <t>Nhận +3 Speed</t>
  </si>
  <si>
    <t>Behemoth</t>
  </si>
  <si>
    <r>
      <rPr>
        <rFont val="Arial"/>
        <b/>
        <color theme="1"/>
        <sz val="12.0"/>
      </rPr>
      <t xml:space="preserve">Sau combat thua: </t>
    </r>
    <r>
      <rPr>
        <rFont val="Arial"/>
        <b val="0"/>
        <color theme="1"/>
        <sz val="12.0"/>
      </rPr>
      <t xml:space="preserve">Base của 1 chỉ số ngẫu nhiên bị giảm xuống 1.
</t>
    </r>
    <r>
      <rPr>
        <rFont val="Arial"/>
        <b/>
        <color theme="1"/>
        <sz val="12.0"/>
      </rPr>
      <t xml:space="preserve">Sau combat thắng: </t>
    </r>
    <r>
      <rPr>
        <rFont val="Arial"/>
        <b val="0"/>
        <color theme="1"/>
        <sz val="12.0"/>
      </rPr>
      <t>Base của 1 chỉ số ngẫu nhiên được nhận +2.</t>
    </r>
  </si>
  <si>
    <t>Sea Elf</t>
  </si>
  <si>
    <t>Nhận 1 random Skill và +1 Hp</t>
  </si>
  <si>
    <t>Lùn thường</t>
  </si>
  <si>
    <t>Bạn là 1 người lùn...🤯</t>
  </si>
  <si>
    <t>Earth</t>
  </si>
  <si>
    <t>Nhận Skill "Earthquake", Nhận +1 Atk,+1 Hp</t>
  </si>
  <si>
    <t>Skills</t>
  </si>
  <si>
    <t>Nhận . Nhận +2 MA.</t>
  </si>
  <si>
    <t>Pale</t>
  </si>
  <si>
    <t>Mỗi lần đánh trúng gây thêm 2% điểm HP của kẻ địch</t>
  </si>
  <si>
    <t>500+</t>
  </si>
  <si>
    <t>Nhận +1 Speed, +1 IQ</t>
  </si>
  <si>
    <t>Heat Blast</t>
  </si>
  <si>
    <t>Nhận "Magma Strike","Incineration"</t>
  </si>
  <si>
    <t>Nhận +1 atk, +1 Speed.</t>
  </si>
  <si>
    <t>Werecapybara</t>
  </si>
  <si>
    <t>Bạn chill 🥹✌️</t>
  </si>
  <si>
    <t>Undead Dragon</t>
  </si>
  <si>
    <t>Không thể sở hữu vũ khí và nhận +4 Hp</t>
  </si>
  <si>
    <t>Fortune</t>
  </si>
  <si>
    <t>Nhận 3 Gear "Đồng Tiền Vàng"</t>
  </si>
  <si>
    <t>Mammon</t>
  </si>
  <si>
    <r>
      <rPr>
        <rFont val="Arial"/>
        <color theme="1"/>
        <sz val="12.0"/>
      </rPr>
      <t xml:space="preserve">Nhận -2 all stats.
</t>
    </r>
    <r>
      <rPr>
        <rFont val="Arial"/>
        <b/>
        <color theme="1"/>
        <sz val="12.0"/>
      </rPr>
      <t>Sau combat thắng:</t>
    </r>
    <r>
      <rPr>
        <rFont val="Arial"/>
        <color theme="1"/>
        <sz val="12.0"/>
      </rPr>
      <t xml:space="preserve"> Nhận 2 phần thưởng PvP thay vì 1.</t>
    </r>
  </si>
  <si>
    <t>Moon Elf</t>
  </si>
  <si>
    <t xml:space="preserve">Nhận 2 random Skill </t>
  </si>
  <si>
    <t>Virtues</t>
  </si>
  <si>
    <t>Bạn không thể bị dính debuff.</t>
  </si>
  <si>
    <t>2000+</t>
  </si>
  <si>
    <t>Nhận +1 Speed, +1 IQ, +1 BIQ</t>
  </si>
  <si>
    <t>Cannonbolt</t>
  </si>
  <si>
    <t>Nhận "Bash", +3 Hp, +3 Spd</t>
  </si>
  <si>
    <t>Nhận +2 atk, +2 Speed.</t>
  </si>
  <si>
    <t>Zephyrian Dragon</t>
  </si>
  <si>
    <t>Nhận 1 Skill và 1 speed</t>
  </si>
  <si>
    <t>Secret Evil</t>
  </si>
  <si>
    <r>
      <rPr>
        <rFont val="Arial"/>
        <b/>
        <color theme="1"/>
        <sz val="12.0"/>
      </rPr>
      <t>Trong Combat:</t>
    </r>
    <r>
      <rPr>
        <rFont val="Arial"/>
        <color theme="1"/>
        <sz val="12.0"/>
      </rPr>
      <t xml:space="preserve"> Nhận +2 Stat cao nhất và thấp nhất</t>
    </r>
  </si>
  <si>
    <t>Belphegor</t>
  </si>
  <si>
    <r>
      <rPr>
        <rFont val="Arial"/>
        <b/>
        <color theme="1"/>
        <sz val="12.0"/>
      </rPr>
      <t>Trong combat:</t>
    </r>
    <r>
      <rPr>
        <rFont val="Arial"/>
        <color theme="1"/>
        <sz val="12.0"/>
      </rPr>
      <t xml:space="preserve"> 2 Round đầu tiên trong combat nếu thắng có 66% không nhận điểm.
Nhận 1 điểm khởi đầu combat.</t>
    </r>
  </si>
  <si>
    <t>Sun Elf</t>
  </si>
  <si>
    <t>Nhận 1 random Skill và +1 MA</t>
  </si>
  <si>
    <t>Dominions</t>
  </si>
  <si>
    <t>Nhận 2 Skill.</t>
  </si>
  <si>
    <t>10000+</t>
  </si>
  <si>
    <t>Nhận +1 Speed, +1 IQ, +1 BIQ, +1 Hp</t>
  </si>
  <si>
    <t>Grey Matter</t>
  </si>
  <si>
    <t>Nhận "Shrinking", +5IQ</t>
  </si>
  <si>
    <t>Nhận +1 all stats.
Nhận 1 Gear.
Chắc chắn nhận Unique Weapon.</t>
  </si>
  <si>
    <t>Tideborn Dragon</t>
  </si>
  <si>
    <t>Nhận +3 Base atk</t>
  </si>
  <si>
    <t>Knowledge</t>
  </si>
  <si>
    <t>Nhận +3 IQ.</t>
  </si>
  <si>
    <t>Asmodeus</t>
  </si>
  <si>
    <r>
      <rPr>
        <rFont val="Arial"/>
        <color theme="1"/>
        <sz val="12.0"/>
      </rPr>
      <t xml:space="preserve">
</t>
    </r>
    <r>
      <rPr>
        <rFont val="Arial"/>
        <b/>
        <color theme="1"/>
        <sz val="12.0"/>
      </rPr>
      <t xml:space="preserve">Trong combat: </t>
    </r>
    <r>
      <rPr>
        <rFont val="Arial"/>
        <color theme="1"/>
        <sz val="12.0"/>
      </rPr>
      <t>đối thủ bị -2IQ, -2BIQ. Bạn được nhận +1 atk và +2Hp</t>
    </r>
  </si>
  <si>
    <t>Star Elf</t>
  </si>
  <si>
    <t>Nhận 1 random Skill và +1 Speed</t>
  </si>
  <si>
    <t>Ophanim</t>
  </si>
  <si>
    <t>Nhận +1 all stats.</t>
  </si>
  <si>
    <t>50000+</t>
  </si>
  <si>
    <t>Nhận +1 all stats</t>
  </si>
  <si>
    <t>Humungousaur</t>
  </si>
  <si>
    <t>Nhận "Enlarging", "Earth-Quake"</t>
  </si>
  <si>
    <t>Thunder Dragon</t>
  </si>
  <si>
    <t xml:space="preserve">
Nhận +2 Base IQ. </t>
  </si>
  <si>
    <t>Arts and Magic</t>
  </si>
  <si>
    <t>Lythari</t>
  </si>
  <si>
    <t xml:space="preserve">Nhận +3 Base Speed </t>
  </si>
  <si>
    <t>Cherubim</t>
  </si>
  <si>
    <t>Nhận +2 all stats.</t>
  </si>
  <si>
    <t>Ghostfreak</t>
  </si>
  <si>
    <t>Nhận "Phasing" , "Frost Finger"</t>
  </si>
  <si>
    <t>Flame Dragon</t>
  </si>
  <si>
    <t>Nhận 1 Skill và +2 vào Stat thấp nhất</t>
  </si>
  <si>
    <t>Wilderness and Sea</t>
  </si>
  <si>
    <t>Nhận +1 All Stat khi gặp warebeast, dragon và primodial being.</t>
  </si>
  <si>
    <t>Swampfire</t>
  </si>
  <si>
    <t>Nhận "Healing Factor", "Swinging Maestro", với mỗi 2Hp thì -1 Spd</t>
  </si>
  <si>
    <t>Ice Dragon</t>
  </si>
  <si>
    <t>Nhận Frost Armor và +2 vào Stat thấp nhất</t>
  </si>
  <si>
    <t>Creation</t>
  </si>
  <si>
    <t>Nhận 1 special gear</t>
  </si>
  <si>
    <t>Feedback</t>
  </si>
  <si>
    <t>Nhận "EMP", "Fair Duel"</t>
  </si>
  <si>
    <t>Chaos Dragon</t>
  </si>
  <si>
    <t>Nhận 3 Skill và tăng 1 spd và 1 str nếu IQ dưới 4</t>
  </si>
  <si>
    <t>Moon</t>
  </si>
  <si>
    <t>Nhận +1 Skill và 1 Gear.</t>
  </si>
  <si>
    <t xml:space="preserve"> </t>
  </si>
  <si>
    <t>x</t>
  </si>
  <si>
    <t>Robot</t>
  </si>
  <si>
    <t>Cố định 1</t>
  </si>
  <si>
    <t>Uma</t>
  </si>
  <si>
    <r>
      <rPr>
        <rFont val="Arial"/>
        <b/>
        <color rgb="FF000000"/>
        <sz val="11.0"/>
      </rPr>
      <t>"Khẩu Vị Độc Đáo"</t>
    </r>
    <r>
      <rPr>
        <rFont val="Arial"/>
        <b/>
        <color theme="1"/>
        <sz val="11.0"/>
      </rPr>
      <t xml:space="preserve"> của Vampire</t>
    </r>
  </si>
  <si>
    <t>Bạn thích ăn ?</t>
  </si>
  <si>
    <t>Tỏi</t>
  </si>
  <si>
    <t xml:space="preserve"> Blood</t>
  </si>
  <si>
    <t>Đậu hũ</t>
  </si>
  <si>
    <t>Trứng</t>
  </si>
  <si>
    <t>Bắp Cải</t>
  </si>
  <si>
    <t xml:space="preserve">Salad Bắp Cải trộn AIDS Blood giấm trộn tương ớt trộn Mayonnaise trộn tỏi trộn trứng cùng vài lát đậu hũ.  </t>
  </si>
  <si>
    <t>Số Gear (Bao gồm thường + Legacy)</t>
  </si>
  <si>
    <t>0 Gear</t>
  </si>
  <si>
    <t>1 Gear</t>
  </si>
  <si>
    <t>2 Gear</t>
  </si>
  <si>
    <t xml:space="preserve">3 Gear </t>
  </si>
  <si>
    <r>
      <rPr>
        <rFont val="Arial"/>
        <b/>
        <i/>
        <color theme="1"/>
        <sz val="11.0"/>
      </rPr>
      <t xml:space="preserve">Note: </t>
    </r>
    <r>
      <rPr>
        <rFont val="Arial"/>
        <i/>
        <color theme="1"/>
        <sz val="11.0"/>
      </rPr>
      <t>Các Gear chỉ có thể nhận được 1 lần, với trường hợp của Golden Coin, trang bị này sẽ chỉ nhận được 1 lần từ vòng quay Gear, có thể nhận thêm bằng các cách khác. (Stack)</t>
    </r>
  </si>
  <si>
    <r>
      <rPr>
        <rFont val="Arial"/>
        <b/>
        <color rgb="FF000000"/>
        <sz val="12.0"/>
      </rPr>
      <t>Gear</t>
    </r>
    <r>
      <rPr>
        <rFont val="Arial"/>
        <b/>
        <color theme="1"/>
        <sz val="12.0"/>
      </rPr>
      <t xml:space="preserve">: Đồ của bạn
</t>
    </r>
    <r>
      <rPr>
        <rFont val="Arial"/>
        <b/>
        <color rgb="FF000000"/>
        <sz val="12.0"/>
      </rPr>
      <t>Magic Gear</t>
    </r>
  </si>
  <si>
    <t>Gear</t>
  </si>
  <si>
    <t>Phân loại</t>
  </si>
  <si>
    <t>Fishing Rod</t>
  </si>
  <si>
    <t>Nếu dùng vũ khí tầm xa có tỉ lệ 30% kéo đối thủ lại gần.</t>
  </si>
  <si>
    <t>Physical</t>
  </si>
  <si>
    <t>Sổ tay</t>
  </si>
  <si>
    <t xml:space="preserve"> Nhận +1 IQ.</t>
  </si>
  <si>
    <t>Văn tế</t>
  </si>
  <si>
    <t>Chết là có nhạc=)).</t>
  </si>
  <si>
    <t>Physical/Magic</t>
  </si>
  <si>
    <t>Silver Steed</t>
  </si>
  <si>
    <t>Nhận +2 Speed.</t>
  </si>
  <si>
    <t>Wooden Shield</t>
  </si>
  <si>
    <t>Nhận +2 Hpbility.</t>
  </si>
  <si>
    <t>Wizard Hat</t>
  </si>
  <si>
    <t>Magic</t>
  </si>
  <si>
    <t>Love Letter</t>
  </si>
  <si>
    <t>Bạn sẽ tỏ tình đối thủ ư😭.</t>
  </si>
  <si>
    <t>Holy Symbol</t>
  </si>
  <si>
    <t>Khi combat với Demon, Vampire, Spirit, Orc, Skeleton và Goblin, đối thủ bị -2 all Stats.</t>
  </si>
  <si>
    <t>Fingerthing</t>
  </si>
  <si>
    <t>Nhận +1 BIQ.</t>
  </si>
  <si>
    <t>Healing Flasks</t>
  </si>
  <si>
    <t>Khi Hp dưới 50% sẽ sử dụng để hồi lại 15%Hp ( chỉ dùng 1 lần )</t>
  </si>
  <si>
    <t>Leather Jacket</t>
  </si>
  <si>
    <t>Nhận +2 Hp.</t>
  </si>
  <si>
    <t>Baguette</t>
  </si>
  <si>
    <t xml:space="preserve">
Nếu đủ bộ công cụ nấu ăn, nhận +2 all stats (12,13,14)</t>
  </si>
  <si>
    <t>Frying Pan</t>
  </si>
  <si>
    <t>Spatula</t>
  </si>
  <si>
    <t>Nếu đủ bộ công cụ nấu ăn, nhận +2 all stats (12,13,14)</t>
  </si>
  <si>
    <t>Gold Pine Resin</t>
  </si>
  <si>
    <t>Nhận +3 BIQ</t>
  </si>
  <si>
    <t>Knight's Armor</t>
  </si>
  <si>
    <t>Nhận -2 Speed, +3 Hp và +2 atk</t>
  </si>
  <si>
    <t>Cursed Charm</t>
  </si>
  <si>
    <t>Nhận -2 Speed</t>
  </si>
  <si>
    <t>Cursed Helmet</t>
  </si>
  <si>
    <t>Nhận +1 HP và -1 IQ và -1 BIQ</t>
  </si>
  <si>
    <t>Swift Boots</t>
  </si>
  <si>
    <t>Kuro's Charm</t>
  </si>
  <si>
    <t>Nhận +1 stat thấp nhất.</t>
  </si>
  <si>
    <t>Buckler</t>
  </si>
  <si>
    <t>Nhận +1 atk, +1 Hp</t>
  </si>
  <si>
    <t>Soap</t>
  </si>
  <si>
    <t>Thơm.</t>
  </si>
  <si>
    <t>Magical Scroll</t>
  </si>
  <si>
    <t>Nhận +1 IQ và +2 BIQ</t>
  </si>
  <si>
    <t>Ba hoa trắng</t>
  </si>
  <si>
    <t xml:space="preserve"> -2 all Stats</t>
  </si>
  <si>
    <t>Giáp gai</t>
  </si>
  <si>
    <t>Phản lại 15% sát thương khi bị trúng đòn</t>
  </si>
  <si>
    <t>Steroid</t>
  </si>
  <si>
    <r>
      <rPr>
        <rFont val="Arial"/>
        <b/>
        <color theme="1"/>
        <sz val="12.0"/>
      </rPr>
      <t>(1).</t>
    </r>
    <r>
      <rPr>
        <rFont val="Arial"/>
        <color theme="1"/>
        <sz val="12.0"/>
      </rPr>
      <t xml:space="preserve">Nhận +4 atk và +4 Hp. 
</t>
    </r>
    <r>
      <rPr>
        <rFont val="Arial"/>
        <b/>
        <color theme="1"/>
        <sz val="12.0"/>
      </rPr>
      <t>(2).</t>
    </r>
    <r>
      <rPr>
        <rFont val="Arial"/>
        <color theme="1"/>
        <sz val="12.0"/>
      </rPr>
      <t xml:space="preserve"> Mỗi giây trừ 1% điểm HP</t>
    </r>
  </si>
  <si>
    <t>Determined Investor</t>
  </si>
  <si>
    <t xml:space="preserve"> 
Sau mỗi 10s không bị trúng đòn sẽ được +1 ATK và +1 SPD</t>
  </si>
  <si>
    <t>Cuộn khăn giấy</t>
  </si>
  <si>
    <t>Sau 10s không bị tấn công hồi 1 điểm Hp</t>
  </si>
  <si>
    <t>Academie Ring</t>
  </si>
  <si>
    <t>Nhận +1 IQ</t>
  </si>
  <si>
    <t>Dark Lanthorn</t>
  </si>
  <si>
    <t>Bạn phát sáng</t>
  </si>
  <si>
    <t>Lover's Glover</t>
  </si>
  <si>
    <t>Nhận sức mạnh tình yêu&lt;3 (không có gì xảy ra💀)</t>
  </si>
  <si>
    <t>Storage Room Key</t>
  </si>
  <si>
    <t>Sau mỗi trận bạn nhận thêm 1 gear vô dụng</t>
  </si>
  <si>
    <t>Giấy Nợ Gia Truyền</t>
  </si>
  <si>
    <t>Mất 50% ATK chuyển cho đối thủ</t>
  </si>
  <si>
    <t>Cursed Coin</t>
  </si>
  <si>
    <t>Trong Combat: Trước trận đấu, quay một vòng quay 50/50 gồm 2 player để xem ai sẽ là người bị -1 All Stats.</t>
  </si>
  <si>
    <t>Shot Glass</t>
  </si>
  <si>
    <t>Một chiếc ly thủy tinh nhỏ.</t>
  </si>
  <si>
    <t>Empty Stein</t>
  </si>
  <si>
    <t>Một cái cốc rỗng.</t>
  </si>
  <si>
    <t>Golden Coin</t>
  </si>
  <si>
    <t>Trong Combat: Với mỗi đồng tiền Vàng trong người ( stack được), sẽ mua lại 1 điểm của chỉ số cao nhất của đối thủ để cộng cho chỉ số thấp nhất của bản thân</t>
  </si>
  <si>
    <t>Đá</t>
  </si>
  <si>
    <t>Wow 1 cục đá🥹</t>
  </si>
  <si>
    <t>STT</t>
  </si>
  <si>
    <t>Tên</t>
  </si>
  <si>
    <t>Trọng Số</t>
  </si>
  <si>
    <t>Tác dụng</t>
  </si>
  <si>
    <t>U=ma2</t>
  </si>
  <si>
    <r>
      <rPr>
        <rFont val="Arial"/>
        <b/>
        <color theme="1"/>
        <sz val="12.0"/>
      </rPr>
      <t>Trong combat:</t>
    </r>
    <r>
      <rPr>
        <rFont val="Arial"/>
        <color theme="1"/>
        <sz val="12.0"/>
      </rPr>
      <t xml:space="preserve"> Spd mình thấp hơn sẽ hồi 3 Hp mỗi 3 giây</t>
    </r>
  </si>
  <si>
    <t>Healing Factor</t>
  </si>
  <si>
    <r>
      <rPr>
        <rFont val="Arial"/>
        <b/>
        <color theme="1"/>
        <sz val="12.0"/>
      </rPr>
      <t>Buff:</t>
    </r>
    <r>
      <rPr>
        <rFont val="Arial"/>
        <color theme="1"/>
        <sz val="12.0"/>
      </rPr>
      <t xml:space="preserve"> Nhận +1 Hp. 
</t>
    </r>
    <r>
      <rPr>
        <rFont val="Arial"/>
        <b/>
        <color theme="1"/>
        <sz val="12.0"/>
      </rPr>
      <t>Sau Combat:</t>
    </r>
    <r>
      <rPr>
        <rFont val="Arial"/>
        <color theme="1"/>
        <sz val="12.0"/>
      </rPr>
      <t xml:space="preserve"> Với mỗi lần thua, nhận thêm +1 Hp.</t>
    </r>
  </si>
  <si>
    <t>Hunter's Rewards</t>
  </si>
  <si>
    <t>Tạm chưa</t>
  </si>
  <si>
    <t>Swinging Maestro</t>
  </si>
  <si>
    <r>
      <rPr>
        <rFont val="Arial"/>
        <b/>
        <color theme="1"/>
        <sz val="12.0"/>
      </rPr>
      <t>Buff:</t>
    </r>
    <r>
      <rPr>
        <rFont val="Arial"/>
        <color theme="1"/>
        <sz val="12.0"/>
      </rPr>
      <t xml:space="preserve"> +4 BIQ.</t>
    </r>
  </si>
  <si>
    <t>Critical Strike</t>
  </si>
  <si>
    <r>
      <rPr>
        <rFont val="Arial"/>
        <b/>
        <color theme="1"/>
        <sz val="12.0"/>
      </rPr>
      <t>Trong Combat:</t>
    </r>
    <r>
      <rPr>
        <rFont val="Arial"/>
        <color theme="1"/>
        <sz val="12.0"/>
      </rPr>
      <t xml:space="preserve">  bạn có 20% gây gấp 1,5 lần sát thương. Max 5 stack</t>
    </r>
  </si>
  <si>
    <t>Evasion</t>
  </si>
  <si>
    <r>
      <rPr>
        <rFont val="Arial"/>
        <b/>
        <color theme="1"/>
        <sz val="12.0"/>
      </rPr>
      <t>Trong Combat</t>
    </r>
    <r>
      <rPr>
        <rFont val="Arial"/>
        <color theme="1"/>
        <sz val="12.0"/>
      </rPr>
      <t>:  bạn có 10% nhận được né cho mỗi stack. max 6 stack</t>
    </r>
  </si>
  <si>
    <t>Magma Strike</t>
  </si>
  <si>
    <r>
      <rPr>
        <rFont val="Arial"/>
        <b/>
        <color theme="1"/>
        <sz val="12.0"/>
      </rPr>
      <t xml:space="preserve">Trong combat: </t>
    </r>
    <r>
      <rPr>
        <rFont val="Arial"/>
        <color theme="1"/>
        <sz val="12.0"/>
      </rPr>
      <t>Mỗi 5sTạo ra một vùng magma hình vòng tròn với bán kính x2 bán kính của quả bóng tồn tại trong 5s. Mỗi lần chạm vào sẽ bị gây 5 Hp</t>
    </r>
  </si>
  <si>
    <t>The Sand of Time</t>
  </si>
  <si>
    <r>
      <rPr>
        <rFont val="Arial"/>
        <b/>
        <color theme="1"/>
        <sz val="12.0"/>
      </rPr>
      <t>Trong Combat:</t>
    </r>
    <r>
      <rPr>
        <rFont val="Arial"/>
        <color theme="1"/>
        <sz val="12.0"/>
      </rPr>
      <t xml:space="preserve"> giảm 1s hồi skill của mình và tăng 1s hồi skill cho đối thủ</t>
    </r>
  </si>
  <si>
    <t>Memory Alter</t>
  </si>
  <si>
    <r>
      <rPr>
        <rFont val="Arial"/>
        <b/>
        <color theme="1"/>
        <sz val="12.0"/>
      </rPr>
      <t>Trước Combat</t>
    </r>
    <r>
      <rPr>
        <rFont val="Arial"/>
        <color theme="1"/>
        <sz val="12.0"/>
      </rPr>
      <t>: Đối thủ bị vô hiệu hóa 1 Skill "</t>
    </r>
    <r>
      <rPr>
        <rFont val="Arial"/>
        <b/>
        <color theme="1"/>
        <sz val="12.0"/>
      </rPr>
      <t>trong combat"</t>
    </r>
    <r>
      <rPr>
        <rFont val="Arial"/>
        <color theme="1"/>
        <sz val="12.0"/>
      </rPr>
      <t xml:space="preserve"> ngẫu nhiên. Nếu bạn thắng combat, đối thủ sẽ vĩnh viễn mất Skill đó.</t>
    </r>
  </si>
  <si>
    <t>Frost Fingers</t>
  </si>
  <si>
    <r>
      <rPr>
        <rFont val="Arial"/>
        <b/>
        <color theme="1"/>
        <sz val="12.0"/>
      </rPr>
      <t>Trong combat:</t>
    </r>
    <r>
      <rPr>
        <rFont val="Arial"/>
        <color theme="1"/>
        <sz val="12.0"/>
      </rPr>
      <t xml:space="preserve"> Sau mỗi đòn trúng đích, đối thủ có 35% bị -3 spd trong 10s.</t>
    </r>
  </si>
  <si>
    <t>Bash</t>
  </si>
  <si>
    <r>
      <rPr>
        <rFont val="Arial"/>
        <b/>
        <color theme="1"/>
        <sz val="12.0"/>
      </rPr>
      <t>Trong combat:</t>
    </r>
    <r>
      <rPr>
        <rFont val="Arial"/>
        <color theme="1"/>
        <sz val="12.0"/>
      </rPr>
      <t xml:space="preserve"> Sau mỗi lần parry, đẩy kẻ địch về phía trước gây choáng 3s.</t>
    </r>
  </si>
  <si>
    <t>Bloody Strike</t>
  </si>
  <si>
    <r>
      <rPr>
        <rFont val="Arial"/>
        <b/>
        <color theme="1"/>
        <sz val="12.0"/>
      </rPr>
      <t xml:space="preserve">Trong Combat: </t>
    </r>
    <r>
      <rPr>
        <rFont val="Arial"/>
        <color theme="1"/>
        <sz val="12.0"/>
      </rPr>
      <t>Có 50% tự giảm 3 máu của bản thân để gây thêm 6 điểm sát thương.</t>
    </r>
  </si>
  <si>
    <t>Rampage</t>
  </si>
  <si>
    <r>
      <rPr>
        <rFont val="Arial"/>
        <b/>
        <color theme="1"/>
        <sz val="12.0"/>
      </rPr>
      <t>Sau Combat:</t>
    </r>
    <r>
      <rPr>
        <rFont val="Arial"/>
        <color theme="1"/>
        <sz val="12.0"/>
      </rPr>
      <t xml:space="preserve"> Sau mỗi trận thắng, có 36% khả năng nhận +1 all stats.</t>
    </r>
  </si>
  <si>
    <t>Bloodlust</t>
  </si>
  <si>
    <r>
      <rPr>
        <rFont val="Arial"/>
        <b/>
        <color theme="1"/>
        <sz val="12.0"/>
      </rPr>
      <t>Trong Combat Combat:</t>
    </r>
    <r>
      <rPr>
        <rFont val="Arial"/>
        <color theme="1"/>
        <sz val="12.0"/>
      </rPr>
      <t xml:space="preserve"> Sau lần đánh trúng kẻ địch, nhận -2 IQ và +1 atk, +1 Speed, +2 Hp.</t>
    </r>
  </si>
  <si>
    <t>Enlarging</t>
  </si>
  <si>
    <t>Tăng gấp đôi kích thước và Nhận +3 atk, +3 Hpbility, -6 Speed.</t>
  </si>
  <si>
    <t>Shrinking</t>
  </si>
  <si>
    <t>Giảm 1/2 kích thước ban đầu và Nhận +6 Speed, -3 atk, -3 Hpbility.</t>
  </si>
  <si>
    <t>Shooting for Victory</t>
  </si>
  <si>
    <r>
      <rPr>
        <rFont val="Arial"/>
        <b/>
        <color theme="1"/>
        <sz val="12.0"/>
      </rPr>
      <t>Trong combat:</t>
    </r>
    <r>
      <rPr>
        <rFont val="Arial"/>
        <color theme="1"/>
        <sz val="12.0"/>
      </rPr>
      <t xml:space="preserve"> Nếu bạn thắng ít nhất 1 và thua ít nhất 1 trong 3 round đầu tiên (atk/Speed/Hpbility), </t>
    </r>
    <r>
      <rPr>
        <rFont val="Arial"/>
        <b/>
        <color theme="1"/>
        <sz val="12.0"/>
      </rPr>
      <t>Buff:</t>
    </r>
    <r>
      <rPr>
        <rFont val="Arial"/>
        <color theme="1"/>
        <sz val="12.0"/>
      </rPr>
      <t xml:space="preserve"> nhận +1 IQ, +1 BIQ và +2 MA.</t>
    </r>
  </si>
  <si>
    <t>Dominator</t>
  </si>
  <si>
    <r>
      <rPr>
        <rFont val="Arial"/>
        <color theme="1"/>
        <sz val="12.0"/>
      </rPr>
      <t xml:space="preserve"> Nếu 3/6 stat của bạn cao hơn kẻ địch, </t>
    </r>
    <r>
      <rPr>
        <rFont val="Arial"/>
        <b/>
        <color theme="1"/>
        <sz val="12.0"/>
      </rPr>
      <t xml:space="preserve">Buff: </t>
    </r>
    <r>
      <rPr>
        <rFont val="Arial"/>
        <color theme="1"/>
        <sz val="12.0"/>
      </rPr>
      <t>nhận +1 cho mỗi stat bạn hơn đối thủ .</t>
    </r>
  </si>
  <si>
    <t>Frost Armor</t>
  </si>
  <si>
    <r>
      <rPr>
        <rFont val="Arial"/>
        <b/>
        <color theme="1"/>
        <sz val="12.0"/>
      </rPr>
      <t>Trong Combat</t>
    </r>
    <r>
      <rPr>
        <rFont val="Arial"/>
        <color theme="1"/>
        <sz val="12.0"/>
      </rPr>
      <t>: Nhận +2 Hpbility khi bị trúng đòn sẽ giảm 1 spd của đối thủ.</t>
    </r>
  </si>
  <si>
    <t>Fair Duel</t>
  </si>
  <si>
    <r>
      <rPr>
        <rFont val="Arial"/>
        <b/>
        <color theme="1"/>
        <sz val="12.0"/>
      </rPr>
      <t>Trước Combat:</t>
    </r>
    <r>
      <rPr>
        <rFont val="Arial"/>
        <color theme="1"/>
        <sz val="12.0"/>
      </rPr>
      <t xml:space="preserve"> Bạn và đối thủ miễn nhiễm với mọi hiệu ứng </t>
    </r>
    <r>
      <rPr>
        <rFont val="Arial"/>
        <b/>
        <color theme="1"/>
        <sz val="12.0"/>
      </rPr>
      <t>Debuff</t>
    </r>
    <r>
      <rPr>
        <rFont val="Arial"/>
        <color theme="1"/>
        <sz val="12.0"/>
      </rPr>
      <t xml:space="preserve"> từ nhau.</t>
    </r>
  </si>
  <si>
    <t>Earth-Quake</t>
  </si>
  <si>
    <r>
      <rPr>
        <rFont val="Arial"/>
        <color theme="1"/>
        <sz val="12.0"/>
      </rPr>
      <t>Mỗi 10s sẽ khiến toàn bộ sân đấu rung chuyển và khiên đối thủ bất động trong 1s</t>
    </r>
    <r>
      <rPr>
        <rFont val="Arial"/>
        <b/>
        <color theme="1"/>
        <sz val="12.0"/>
      </rPr>
      <t>.</t>
    </r>
    <r>
      <rPr>
        <rFont val="Arial"/>
        <color theme="1"/>
        <sz val="12.0"/>
      </rPr>
      <t>.</t>
    </r>
  </si>
  <si>
    <t>Tornado</t>
  </si>
  <si>
    <r>
      <rPr>
        <rFont val="Arial"/>
        <b/>
        <color theme="1"/>
        <sz val="12.0"/>
      </rPr>
      <t>Trong Combat:</t>
    </r>
    <r>
      <rPr>
        <rFont val="Arial"/>
        <color theme="1"/>
        <sz val="12.0"/>
      </rPr>
      <t xml:space="preserve"> Mỗi 10s sẽ tạo 1 vòi rồng ở tâm đấu trường hút tất cả trừ boss và bản thân lại gần.</t>
    </r>
  </si>
  <si>
    <t>Incineration</t>
  </si>
  <si>
    <t>Cứ 10s tạo ra một vòng tròn lửa đi từ tâm bóng tỏa ra có đường kính gấp 3,6 lần bản thân tồn tại trong 0,67s</t>
  </si>
  <si>
    <t>Phasing</t>
  </si>
  <si>
    <t>Sau khi dính sát thương nhận 0,5s tàng hình khiến vật thể và vũ khí không thể đánh trúng.</t>
  </si>
  <si>
    <t xml:space="preserve">EMP </t>
  </si>
  <si>
    <t>Vô hiệu hóa khả năng tấn công trong 2s của kẻ địch mỗi khi mất 5 điểm máu trở lên</t>
  </si>
  <si>
    <t>Có vũ khí hay không?</t>
  </si>
  <si>
    <t xml:space="preserve">Trọng số </t>
  </si>
  <si>
    <t>Có</t>
  </si>
  <si>
    <t>Không</t>
  </si>
  <si>
    <t>Tên Weapon</t>
  </si>
  <si>
    <t>Amateur (1)</t>
  </si>
  <si>
    <t>Novice (2)</t>
  </si>
  <si>
    <t>Adept (3)</t>
  </si>
  <si>
    <t>Competent (4)</t>
  </si>
  <si>
    <t>intermediate (5)</t>
  </si>
  <si>
    <t xml:space="preserve"> Proficient (6)</t>
  </si>
  <si>
    <t xml:space="preserve"> Advanced (7)</t>
  </si>
  <si>
    <t>Expert  (8)</t>
  </si>
  <si>
    <t>Mastered (9)</t>
  </si>
  <si>
    <t>Transcendent (10)</t>
  </si>
  <si>
    <t>Scale vũ khí</t>
  </si>
  <si>
    <t>Straight Sword</t>
  </si>
  <si>
    <t>Nhận +1 atk .</t>
  </si>
  <si>
    <t>Nhận +1 atk và +1 Speed.</t>
  </si>
  <si>
    <t>Nhận +1 atk và +2 Speed.</t>
  </si>
  <si>
    <t>Nhận +2 atk và +2 Speed.</t>
  </si>
  <si>
    <t>Sword</t>
  </si>
  <si>
    <t>Sword: tăng 1 atk cho mỗi lần đánh trúng đích</t>
  </si>
  <si>
    <t>Rapier</t>
  </si>
  <si>
    <t>Nhận +1 Speed.</t>
  </si>
  <si>
    <t>Nhận +3 Speed.</t>
  </si>
  <si>
    <t>Nhận +3 Speed + 2 BIQ.</t>
  </si>
  <si>
    <t>Dagger :  cầm 2 cái 2 bên đối xứng nhau , +1 BIQ mỗi lần đánh trúng.( nếu thuộc lớp dual wielder thì thay 1 bên bằng vũ khí khác)</t>
  </si>
  <si>
    <t>Hidden Blade</t>
  </si>
  <si>
    <t>Nhận +2 Speed và Skill "Critical Strike".</t>
  </si>
  <si>
    <t>Nhận +2 Speed và 2 stack "Critical Strike" và Skil evasion.</t>
  </si>
  <si>
    <t>Dagger</t>
  </si>
  <si>
    <t>Bow/ crossbow: mỗi lần trúng đích sẽ bắn thêm 1 tia</t>
  </si>
  <si>
    <t>Wooden Long Bow</t>
  </si>
  <si>
    <t>Nhận +2 BIQ.</t>
  </si>
  <si>
    <t>Nhận +2 BIQ và 1 spd.</t>
  </si>
  <si>
    <t>Nhận +2spd và 2 atk</t>
  </si>
  <si>
    <t>Bow/Crossbow</t>
  </si>
  <si>
    <t>Magic: nếu trúng đích sẽ tăng kích thước vật thể bắn ra và tăng 1 BIQ. Bắn phép thuật mỗi 2,5s</t>
  </si>
  <si>
    <t>Magical Staff</t>
  </si>
  <si>
    <t>Vào thời điểm nhận vũ khí này, nhận +2 vào chỉ số thấp nhất với mỗi Skill sở hữu. Nhận +1 IQ và +1 BIQ.</t>
  </si>
  <si>
    <t>Vào thời điểm nhận vũ khí này, nhận +2 vào chỉ số thấp nhất và cao nhất với mỗi Skill sở hữu. Nhận +1 IQ và +1 BIQ.</t>
  </si>
  <si>
    <t>Polearms : +0.5 atk mỗi lần đâm trúng ,vũ khí luôn chĩa vào đối thủ.</t>
  </si>
  <si>
    <t>Crimson Scythe</t>
  </si>
  <si>
    <t>Đối thủ nhận -2 Speed.</t>
  </si>
  <si>
    <t>Đối thủ nhận -3 Speed.</t>
  </si>
  <si>
    <t>Đối thủ nhận -3 Speed, gấp đôi hiệu ứng nếu bạn sở hữu ít nhất 1 Skill có tag "Blood".</t>
  </si>
  <si>
    <t>Polearms</t>
  </si>
  <si>
    <t>Firearm: mỗi lần trúng đích sẽ tăng 1 atk và tăng tốc độ bắn và tốc độ đạn bay nhanh, đạn bắn mỗi 1s.</t>
  </si>
  <si>
    <t>Wooden Spear</t>
  </si>
  <si>
    <t>Nhận +1 Martial Arts.</t>
  </si>
  <si>
    <t>Nhận +1 BIQ, +1 Martial Arts.</t>
  </si>
  <si>
    <t>Nhận +2 BIQ, +2 Martial Arts.</t>
  </si>
  <si>
    <t>Shuriken : vật thể bắn ra sẽ nảy 1 lần và mỗi lần bắn trúng sẽ tăng 1 vật thể ( khác số tia của tên bắn tăng lên theo chuỗi</t>
  </si>
  <si>
    <t>Shuriken</t>
  </si>
  <si>
    <t>Nhận +2 BIQ +1 spd.</t>
  </si>
  <si>
    <t>Nhận +2 BIQ ,+ 1 spd, + 1 atk.</t>
  </si>
  <si>
    <t>Special</t>
  </si>
  <si>
    <t>Match'clock Musket</t>
  </si>
  <si>
    <t>Nhận +2 atk và +1 Speed</t>
  </si>
  <si>
    <t xml:space="preserve">Nhận +2 atk và +1 Speed, + 1 BIQ </t>
  </si>
  <si>
    <t>Firearm</t>
  </si>
  <si>
    <t>Unarmed</t>
  </si>
  <si>
    <t>Nhận +1 all stat</t>
  </si>
  <si>
    <t>Nhận +1 all stat và "evasion"</t>
  </si>
  <si>
    <t>Unarmed:  chỉ mất tốc độ khi đánh trúng kẻ địch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</si>
</sst>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8">
    <font>
      <sz val="10.0"/>
      <color rgb="FF000000"/>
      <name val="Arial"/>
      <scheme val="minor"/>
    </font>
    <font>
      <sz val="12.0"/>
      <color theme="1"/>
      <name val="Arial"/>
      <scheme val="minor"/>
    </font>
    <font/>
    <font>
      <b/>
      <sz val="12.0"/>
      <color theme="1"/>
      <name val="Arial"/>
    </font>
    <font>
      <b/>
      <sz val="11.0"/>
      <color theme="1"/>
      <name val="Arial"/>
    </font>
    <font>
      <sz val="11.0"/>
      <color theme="1"/>
      <name val="Arial"/>
    </font>
    <font>
      <sz val="12.0"/>
      <color theme="1"/>
      <name val="Arial"/>
    </font>
    <font>
      <color theme="1"/>
      <name val="Arial"/>
      <scheme val="minor"/>
    </font>
    <font>
      <color theme="1"/>
      <name val="Arial"/>
    </font>
    <font>
      <b/>
      <sz val="13.0"/>
      <color theme="1"/>
      <name val="Arial"/>
    </font>
    <font>
      <b/>
      <sz val="11.0"/>
      <color theme="1"/>
      <name val="Arial"/>
      <scheme val="minor"/>
    </font>
    <font>
      <sz val="11.0"/>
      <color theme="1"/>
      <name val="Arial"/>
      <scheme val="minor"/>
    </font>
    <font>
      <b/>
      <sz val="13.0"/>
      <color theme="1"/>
      <name val="Arial"/>
      <scheme val="minor"/>
    </font>
    <font>
      <b/>
      <sz val="15.0"/>
      <color theme="1"/>
      <name val="Arial"/>
    </font>
    <font>
      <sz val="10.0"/>
      <color theme="1"/>
      <name val="Arial"/>
    </font>
    <font>
      <b/>
      <sz val="12.0"/>
      <color theme="1"/>
      <name val="Arial"/>
      <scheme val="minor"/>
    </font>
    <font>
      <b/>
      <sz val="11.0"/>
      <color rgb="FF000000"/>
      <name val="Arial"/>
    </font>
    <font>
      <sz val="13.0"/>
      <color theme="1"/>
      <name val="Arial"/>
    </font>
    <font>
      <b/>
      <i/>
      <sz val="11.0"/>
      <color theme="1"/>
      <name val="Arial"/>
    </font>
    <font>
      <sz val="10.0"/>
      <color theme="1"/>
      <name val="Arial"/>
      <scheme val="minor"/>
    </font>
    <font>
      <i/>
      <sz val="11.0"/>
      <color theme="1"/>
      <name val="Arial"/>
      <scheme val="minor"/>
    </font>
    <font>
      <b/>
      <i/>
      <sz val="12.0"/>
      <color theme="1"/>
      <name val="Arial"/>
      <scheme val="minor"/>
    </font>
    <font>
      <b/>
      <i/>
      <sz val="12.0"/>
      <color theme="1"/>
      <name val="Arial"/>
    </font>
    <font>
      <b/>
      <sz val="20.0"/>
      <color theme="1"/>
      <name val="Arial"/>
      <scheme val="minor"/>
    </font>
    <font>
      <b/>
      <sz val="35.0"/>
      <color theme="1"/>
      <name val="Arial"/>
      <scheme val="minor"/>
    </font>
    <font>
      <sz val="13.0"/>
      <color rgb="FF000000"/>
      <name val="Arial"/>
      <scheme val="minor"/>
    </font>
    <font>
      <b/>
      <color theme="1"/>
      <name val="Arial"/>
      <scheme val="minor"/>
    </font>
    <font>
      <b/>
      <sz val="21.0"/>
      <color theme="1"/>
      <name val="Arial"/>
      <scheme val="minor"/>
    </font>
  </fonts>
  <fills count="16">
    <fill>
      <patternFill patternType="none"/>
    </fill>
    <fill>
      <patternFill patternType="lightGray"/>
    </fill>
    <fill>
      <patternFill patternType="solid">
        <fgColor rgb="FFD9EAD3"/>
        <bgColor rgb="FFD9EAD3"/>
      </patternFill>
    </fill>
    <fill>
      <patternFill patternType="solid">
        <fgColor rgb="FFEA9999"/>
        <bgColor rgb="FFEA9999"/>
      </patternFill>
    </fill>
    <fill>
      <patternFill patternType="solid">
        <fgColor rgb="FFB4A7D6"/>
        <bgColor rgb="FFB4A7D6"/>
      </patternFill>
    </fill>
    <fill>
      <patternFill patternType="solid">
        <fgColor rgb="FFF6B26B"/>
        <bgColor rgb="FFF6B26B"/>
      </patternFill>
    </fill>
    <fill>
      <patternFill patternType="solid">
        <fgColor rgb="FFFFFFFF"/>
        <bgColor rgb="FFFFFFFF"/>
      </patternFill>
    </fill>
    <fill>
      <patternFill patternType="solid">
        <fgColor rgb="FFD9D9D9"/>
        <bgColor rgb="FFD9D9D9"/>
      </patternFill>
    </fill>
    <fill>
      <patternFill patternType="solid">
        <fgColor rgb="FFF4CCCC"/>
        <bgColor rgb="FFF4CCCC"/>
      </patternFill>
    </fill>
    <fill>
      <patternFill patternType="solid">
        <fgColor rgb="FFFFF2CC"/>
        <bgColor rgb="FFFFF2CC"/>
      </patternFill>
    </fill>
    <fill>
      <patternFill patternType="solid">
        <fgColor rgb="FFD9D2E9"/>
        <bgColor rgb="FFD9D2E9"/>
      </patternFill>
    </fill>
    <fill>
      <patternFill patternType="solid">
        <fgColor rgb="FFA4C2F4"/>
        <bgColor rgb="FFA4C2F4"/>
      </patternFill>
    </fill>
    <fill>
      <patternFill patternType="solid">
        <fgColor rgb="FFE06666"/>
        <bgColor rgb="FFE06666"/>
      </patternFill>
    </fill>
    <fill>
      <patternFill patternType="solid">
        <fgColor rgb="FF00FF00"/>
        <bgColor rgb="FF00FF00"/>
      </patternFill>
    </fill>
    <fill>
      <patternFill patternType="solid">
        <fgColor rgb="FF4A86E8"/>
        <bgColor rgb="FF4A86E8"/>
      </patternFill>
    </fill>
    <fill>
      <patternFill patternType="solid">
        <fgColor rgb="FFFF9900"/>
        <bgColor rgb="FFFF9900"/>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0" fillId="0" fontId="1" numFmtId="0" xfId="0" applyFont="1"/>
    <xf borderId="1" fillId="0" fontId="1" numFmtId="0" xfId="0" applyAlignment="1" applyBorder="1" applyFont="1">
      <alignment horizontal="center" shrinkToFit="0" wrapText="1"/>
    </xf>
    <xf borderId="2" fillId="0" fontId="1" numFmtId="0" xfId="0" applyAlignment="1" applyBorder="1" applyFont="1">
      <alignment readingOrder="0" shrinkToFit="0" wrapText="1"/>
    </xf>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1" fillId="2" fontId="3" numFmtId="0" xfId="0" applyAlignment="1" applyBorder="1" applyFill="1" applyFont="1">
      <alignment horizontal="center" shrinkToFit="0" vertical="bottom" wrapText="1"/>
    </xf>
    <xf borderId="1" fillId="3" fontId="3" numFmtId="0" xfId="0" applyAlignment="1" applyBorder="1" applyFill="1" applyFont="1">
      <alignment horizontal="center" shrinkToFit="0" vertical="bottom" wrapText="1"/>
    </xf>
    <xf borderId="1" fillId="4" fontId="3" numFmtId="0" xfId="0" applyAlignment="1" applyBorder="1" applyFill="1" applyFont="1">
      <alignment horizontal="center" shrinkToFit="0" vertical="bottom" wrapText="1"/>
    </xf>
    <xf borderId="1" fillId="5" fontId="4" numFmtId="0" xfId="0" applyAlignment="1" applyBorder="1" applyFill="1" applyFont="1">
      <alignment horizontal="center" shrinkToFit="0" vertical="bottom" wrapText="1"/>
    </xf>
    <xf borderId="1" fillId="6" fontId="3" numFmtId="0" xfId="0" applyAlignment="1" applyBorder="1" applyFill="1" applyFont="1">
      <alignment horizontal="center" shrinkToFit="0" vertical="bottom" wrapText="1"/>
    </xf>
    <xf borderId="1" fillId="0" fontId="5" numFmtId="0" xfId="0" applyAlignment="1" applyBorder="1" applyFont="1">
      <alignment horizontal="center" shrinkToFit="0" vertical="bottom" wrapText="1"/>
    </xf>
    <xf borderId="1" fillId="6" fontId="6" numFmtId="0" xfId="0" applyAlignment="1" applyBorder="1" applyFont="1">
      <alignment horizontal="center" shrinkToFit="0" vertical="bottom" wrapText="1"/>
    </xf>
    <xf borderId="0" fillId="0" fontId="7" numFmtId="0" xfId="0" applyFont="1"/>
    <xf borderId="1" fillId="6" fontId="5" numFmtId="0" xfId="0" applyAlignment="1" applyBorder="1" applyFont="1">
      <alignment horizontal="center" shrinkToFit="0" vertical="bottom" wrapText="1"/>
    </xf>
    <xf borderId="1" fillId="6" fontId="6" numFmtId="0" xfId="0" applyAlignment="1" applyBorder="1" applyFont="1">
      <alignment horizontal="center" readingOrder="0" shrinkToFit="0" vertical="bottom" wrapText="1"/>
    </xf>
    <xf borderId="1" fillId="0" fontId="6" numFmtId="0" xfId="0" applyAlignment="1" applyBorder="1" applyFont="1">
      <alignment horizontal="center" shrinkToFit="0" vertical="bottom" wrapText="1"/>
    </xf>
    <xf borderId="0" fillId="0" fontId="3" numFmtId="0" xfId="0" applyAlignment="1" applyFont="1">
      <alignment horizontal="center" shrinkToFit="0" wrapText="1"/>
    </xf>
    <xf borderId="0" fillId="0" fontId="8" numFmtId="0" xfId="0" applyFont="1"/>
    <xf borderId="0" fillId="0" fontId="3" numFmtId="0" xfId="0" applyAlignment="1" applyFont="1">
      <alignment horizontal="center" readingOrder="0" shrinkToFit="0" wrapText="1"/>
    </xf>
    <xf borderId="1" fillId="0" fontId="9" numFmtId="0" xfId="0" applyAlignment="1" applyBorder="1" applyFont="1">
      <alignment horizontal="center" readingOrder="0" shrinkToFit="0" wrapText="1"/>
    </xf>
    <xf borderId="0" fillId="0" fontId="9" numFmtId="0" xfId="0" applyAlignment="1" applyFont="1">
      <alignment horizontal="center" readingOrder="0" shrinkToFit="0" wrapText="1"/>
    </xf>
    <xf borderId="2" fillId="0" fontId="10" numFmtId="0" xfId="0" applyAlignment="1" applyBorder="1" applyFont="1">
      <alignment horizontal="center" readingOrder="0" shrinkToFit="0" vertical="center" wrapText="1"/>
    </xf>
    <xf borderId="8" fillId="0" fontId="2" numFmtId="0" xfId="0" applyBorder="1" applyFont="1"/>
    <xf borderId="1" fillId="0" fontId="3" numFmtId="0" xfId="0" applyAlignment="1" applyBorder="1" applyFont="1">
      <alignment horizontal="center" shrinkToFit="0" wrapText="1"/>
    </xf>
    <xf borderId="1" fillId="6" fontId="3" numFmtId="0" xfId="0" applyAlignment="1" applyBorder="1" applyFont="1">
      <alignment horizontal="center" shrinkToFit="0" wrapText="1"/>
    </xf>
    <xf borderId="0" fillId="6" fontId="3" numFmtId="0" xfId="0" applyAlignment="1" applyFont="1">
      <alignment horizontal="center" shrinkToFit="0" wrapText="1"/>
    </xf>
    <xf borderId="1" fillId="0" fontId="6" numFmtId="0" xfId="0" applyAlignment="1" applyBorder="1" applyFont="1">
      <alignment horizontal="center" readingOrder="0" shrinkToFit="0" wrapText="1"/>
    </xf>
    <xf borderId="0" fillId="0" fontId="6" numFmtId="0" xfId="0" applyAlignment="1" applyFont="1">
      <alignment horizontal="center" readingOrder="0" shrinkToFit="0" wrapText="1"/>
    </xf>
    <xf borderId="1" fillId="0" fontId="10" numFmtId="0" xfId="0" applyAlignment="1" applyBorder="1" applyFont="1">
      <alignment horizontal="center" readingOrder="0" shrinkToFit="0" vertical="center" wrapText="1"/>
    </xf>
    <xf borderId="1" fillId="0" fontId="6" numFmtId="0" xfId="0" applyAlignment="1" applyBorder="1" applyFont="1">
      <alignment horizontal="center" shrinkToFit="0" wrapText="1"/>
    </xf>
    <xf borderId="1" fillId="6" fontId="6" numFmtId="0" xfId="0" applyAlignment="1" applyBorder="1" applyFont="1">
      <alignment horizontal="center" readingOrder="0" shrinkToFit="0" wrapText="1"/>
    </xf>
    <xf borderId="0" fillId="6" fontId="6" numFmtId="0" xfId="0" applyAlignment="1" applyFont="1">
      <alignment horizontal="center" readingOrder="0" shrinkToFit="0" wrapText="1"/>
    </xf>
    <xf borderId="1" fillId="6" fontId="6" numFmtId="0" xfId="0" applyAlignment="1" applyBorder="1" applyFont="1">
      <alignment horizontal="center" shrinkToFit="0" wrapText="1"/>
    </xf>
    <xf borderId="0" fillId="6" fontId="6" numFmtId="0" xfId="0" applyAlignment="1" applyFont="1">
      <alignment horizontal="center" shrinkToFit="0" wrapText="1"/>
    </xf>
    <xf borderId="1" fillId="0" fontId="3" numFmtId="164" xfId="0" applyAlignment="1" applyBorder="1" applyFont="1" applyNumberFormat="1">
      <alignment horizontal="center" shrinkToFit="0" wrapText="1"/>
    </xf>
    <xf borderId="0" fillId="0" fontId="6" numFmtId="0" xfId="0" applyAlignment="1" applyFont="1">
      <alignment horizontal="center" shrinkToFit="0" wrapText="1"/>
    </xf>
    <xf borderId="1" fillId="0" fontId="11"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9" fillId="0" fontId="3" numFmtId="0" xfId="0" applyAlignment="1" applyBorder="1" applyFont="1">
      <alignment horizontal="center" shrinkToFit="0" wrapText="1"/>
    </xf>
    <xf borderId="9" fillId="0" fontId="6" numFmtId="0" xfId="0" applyAlignment="1" applyBorder="1" applyFont="1">
      <alignment horizontal="center" readingOrder="0" shrinkToFit="0" wrapText="1"/>
    </xf>
    <xf borderId="1" fillId="0" fontId="11" numFmtId="0" xfId="0" applyAlignment="1" applyBorder="1" applyFont="1">
      <alignment horizontal="center" readingOrder="0" shrinkToFit="0" vertical="center" wrapText="1"/>
    </xf>
    <xf borderId="10" fillId="0" fontId="3" numFmtId="0" xfId="0" applyAlignment="1" applyBorder="1" applyFont="1">
      <alignment horizontal="center" shrinkToFit="0" wrapText="1"/>
    </xf>
    <xf borderId="10" fillId="0" fontId="6"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10" numFmtId="0" xfId="0" applyAlignment="1" applyBorder="1" applyFont="1">
      <alignment horizontal="center" readingOrder="0"/>
    </xf>
    <xf borderId="0" fillId="0" fontId="12" numFmtId="0" xfId="0" applyAlignment="1" applyFont="1">
      <alignment horizontal="center" readingOrder="0"/>
    </xf>
    <xf borderId="0" fillId="0" fontId="8" numFmtId="0" xfId="0" applyAlignment="1" applyFont="1">
      <alignment horizontal="center" shrinkToFit="0" wrapText="1"/>
    </xf>
    <xf borderId="1" fillId="7" fontId="13" numFmtId="0" xfId="0" applyAlignment="1" applyBorder="1" applyFill="1" applyFont="1">
      <alignment horizontal="center" shrinkToFit="0" wrapText="1"/>
    </xf>
    <xf borderId="1" fillId="7" fontId="13" numFmtId="0" xfId="0" applyAlignment="1" applyBorder="1" applyFont="1">
      <alignment horizontal="center" readingOrder="0" shrinkToFit="0" wrapText="1"/>
    </xf>
    <xf borderId="1" fillId="7" fontId="13" numFmtId="0" xfId="0" applyAlignment="1" applyBorder="1" applyFont="1">
      <alignment horizontal="center" readingOrder="0"/>
    </xf>
    <xf borderId="0" fillId="7" fontId="8" numFmtId="0" xfId="0" applyFont="1"/>
    <xf borderId="1" fillId="8" fontId="13" numFmtId="0" xfId="0" applyAlignment="1" applyBorder="1" applyFill="1" applyFont="1">
      <alignment horizontal="center" shrinkToFit="0" wrapText="1"/>
    </xf>
    <xf borderId="1" fillId="8" fontId="9" numFmtId="0" xfId="0" applyAlignment="1" applyBorder="1" applyFont="1">
      <alignment horizontal="center" shrinkToFit="0" wrapText="1"/>
    </xf>
    <xf borderId="0" fillId="8" fontId="8" numFmtId="0" xfId="0" applyFont="1"/>
    <xf borderId="1" fillId="9" fontId="13" numFmtId="0" xfId="0" applyAlignment="1" applyBorder="1" applyFill="1" applyFont="1">
      <alignment horizontal="center" shrinkToFit="0" wrapText="1"/>
    </xf>
    <xf borderId="1" fillId="9" fontId="9" numFmtId="0" xfId="0" applyAlignment="1" applyBorder="1" applyFont="1">
      <alignment horizontal="center" shrinkToFit="0" wrapText="1"/>
    </xf>
    <xf borderId="0" fillId="9" fontId="8" numFmtId="0" xfId="0" applyFont="1"/>
    <xf borderId="1" fillId="2" fontId="13" numFmtId="0" xfId="0" applyAlignment="1" applyBorder="1" applyFont="1">
      <alignment horizontal="center" shrinkToFit="0" wrapText="1"/>
    </xf>
    <xf borderId="1" fillId="2" fontId="9" numFmtId="0" xfId="0" applyAlignment="1" applyBorder="1" applyFont="1">
      <alignment horizontal="center" shrinkToFit="0" wrapText="1"/>
    </xf>
    <xf borderId="0" fillId="2" fontId="8" numFmtId="0" xfId="0" applyFont="1"/>
    <xf borderId="1" fillId="10" fontId="13" numFmtId="0" xfId="0" applyAlignment="1" applyBorder="1" applyFill="1" applyFont="1">
      <alignment horizontal="center" shrinkToFit="0" wrapText="1"/>
    </xf>
    <xf borderId="1" fillId="10" fontId="9" numFmtId="0" xfId="0" applyAlignment="1" applyBorder="1" applyFont="1">
      <alignment horizontal="center" shrinkToFit="0" wrapText="1"/>
    </xf>
    <xf borderId="0" fillId="10" fontId="8" numFmtId="0" xfId="0" applyFont="1"/>
    <xf borderId="0" fillId="0" fontId="14" numFmtId="0" xfId="0" applyFont="1"/>
    <xf borderId="0" fillId="0" fontId="8" numFmtId="0" xfId="0" applyAlignment="1" applyFont="1">
      <alignment vertical="bottom"/>
    </xf>
    <xf borderId="9" fillId="8" fontId="9" numFmtId="0" xfId="0" applyAlignment="1" applyBorder="1" applyFont="1">
      <alignment horizontal="center" shrinkToFit="0" wrapText="1"/>
    </xf>
    <xf borderId="11" fillId="0" fontId="2" numFmtId="0" xfId="0" applyBorder="1" applyFont="1"/>
    <xf borderId="10" fillId="0" fontId="2" numFmtId="0" xfId="0" applyBorder="1" applyFont="1"/>
    <xf borderId="1" fillId="8" fontId="9" numFmtId="0" xfId="0" applyAlignment="1" applyBorder="1" applyFont="1">
      <alignment horizontal="center" readingOrder="0" shrinkToFit="0" wrapText="1"/>
    </xf>
    <xf borderId="1" fillId="9" fontId="9" numFmtId="0" xfId="0" applyAlignment="1" applyBorder="1" applyFont="1">
      <alignment horizontal="center" readingOrder="0" shrinkToFit="0" wrapText="1"/>
    </xf>
    <xf borderId="1" fillId="2" fontId="9" numFmtId="0" xfId="0" applyAlignment="1" applyBorder="1" applyFont="1">
      <alignment horizontal="center" readingOrder="0" shrinkToFit="0" wrapText="1"/>
    </xf>
    <xf borderId="0" fillId="0" fontId="10"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3" fontId="10"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15" numFmtId="0" xfId="0" applyAlignment="1" applyFont="1">
      <alignment horizontal="center" readingOrder="0" vertical="center"/>
    </xf>
    <xf borderId="0" fillId="0" fontId="15" numFmtId="0" xfId="0" applyAlignment="1" applyFont="1">
      <alignment horizontal="center" vertical="center"/>
    </xf>
    <xf borderId="0" fillId="8" fontId="10" numFmtId="0" xfId="0" applyAlignment="1" applyFont="1">
      <alignment horizontal="center" readingOrder="0" shrinkToFit="0" vertical="center" wrapText="1"/>
    </xf>
    <xf borderId="0" fillId="8" fontId="11" numFmtId="0" xfId="0" applyAlignment="1" applyFont="1">
      <alignment horizontal="center" readingOrder="0" shrinkToFit="0" vertical="center" wrapText="1"/>
    </xf>
    <xf borderId="0" fillId="8" fontId="15" numFmtId="0" xfId="0" applyAlignment="1" applyFont="1">
      <alignment horizontal="center" readingOrder="0" vertical="center"/>
    </xf>
    <xf borderId="0" fillId="0" fontId="15" numFmtId="0" xfId="0" applyAlignment="1" applyFont="1">
      <alignment horizontal="center" readingOrder="0" vertical="center"/>
    </xf>
    <xf borderId="0" fillId="0" fontId="11" numFmtId="0" xfId="0" applyAlignment="1" applyFont="1">
      <alignment horizontal="center" shrinkToFit="0" vertical="center" wrapText="1"/>
    </xf>
    <xf borderId="12" fillId="0" fontId="10" numFmtId="0" xfId="0" applyAlignment="1" applyBorder="1" applyFont="1">
      <alignment horizontal="center" readingOrder="0" shrinkToFit="0" vertical="center" wrapText="1"/>
    </xf>
    <xf borderId="13" fillId="0" fontId="2" numFmtId="0" xfId="0" applyBorder="1" applyFont="1"/>
    <xf borderId="14" fillId="0" fontId="2" numFmtId="0" xfId="0" applyBorder="1" applyFont="1"/>
    <xf borderId="0" fillId="0" fontId="4" numFmtId="0" xfId="0" applyAlignment="1" applyFont="1">
      <alignment horizontal="center" readingOrder="0" shrinkToFit="0" vertical="center" wrapText="1"/>
    </xf>
    <xf borderId="12" fillId="0" fontId="10"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readingOrder="0" vertical="center"/>
    </xf>
    <xf borderId="0" fillId="0" fontId="11" numFmtId="0" xfId="0" applyAlignment="1" applyFont="1">
      <alignment vertical="center"/>
    </xf>
    <xf borderId="0" fillId="0" fontId="4"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1" fillId="0" fontId="15"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0" fillId="0" fontId="17" numFmtId="0" xfId="0" applyAlignment="1" applyFont="1">
      <alignment horizontal="center" shrinkToFit="0" vertical="center" wrapText="1"/>
    </xf>
    <xf borderId="0" fillId="0" fontId="17" numFmtId="0" xfId="0" applyAlignment="1" applyFont="1">
      <alignment horizontal="center" shrinkToFit="0" vertical="center" wrapText="1"/>
    </xf>
    <xf borderId="1" fillId="0" fontId="1"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1" fillId="0" fontId="15" numFmtId="0" xfId="0" applyAlignment="1" applyBorder="1" applyFont="1">
      <alignment horizontal="center" shrinkToFit="0" vertical="center" wrapText="1"/>
    </xf>
    <xf borderId="1" fillId="0" fontId="1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6" fontId="18" numFmtId="0" xfId="0" applyAlignment="1" applyFont="1">
      <alignment horizontal="center" shrinkToFit="0" vertical="center" wrapText="1"/>
    </xf>
    <xf borderId="1" fillId="0" fontId="12" numFmtId="0" xfId="0" applyAlignment="1" applyBorder="1" applyFont="1">
      <alignment horizontal="center" readingOrder="0" shrinkToFit="0" vertical="center" wrapText="1"/>
    </xf>
    <xf borderId="1" fillId="0" fontId="12" numFmtId="0" xfId="0" applyAlignment="1" applyBorder="1" applyFont="1">
      <alignment horizontal="center" readingOrder="0" vertical="center"/>
    </xf>
    <xf borderId="0" fillId="0" fontId="12" numFmtId="0" xfId="0" applyAlignment="1" applyFont="1">
      <alignment horizontal="center" readingOrder="0" shrinkToFit="0" vertical="center" wrapText="1"/>
    </xf>
    <xf borderId="0" fillId="0" fontId="12" numFmtId="0" xfId="0" applyAlignment="1" applyFont="1">
      <alignment horizontal="center" readingOrder="0" vertical="center"/>
    </xf>
    <xf borderId="1" fillId="0" fontId="19" numFmtId="0" xfId="0" applyAlignment="1" applyBorder="1" applyFont="1">
      <alignment horizontal="center" readingOrder="0" shrinkToFit="0" vertical="center" wrapText="1"/>
    </xf>
    <xf borderId="1" fillId="0" fontId="7" numFmtId="0" xfId="0" applyAlignment="1" applyBorder="1" applyFont="1">
      <alignment horizontal="center" readingOrder="0" vertical="center"/>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0" fontId="7" numFmtId="0" xfId="0" applyAlignment="1" applyFont="1">
      <alignment horizontal="center" readingOrder="0" vertical="center"/>
    </xf>
    <xf borderId="2" fillId="0" fontId="20" numFmtId="0" xfId="0" applyAlignment="1" applyBorder="1" applyFont="1">
      <alignment horizontal="center" readingOrder="0" shrinkToFit="0" vertical="center" wrapText="1"/>
    </xf>
    <xf borderId="0" fillId="0" fontId="19" numFmtId="0" xfId="0" applyFont="1"/>
    <xf borderId="0" fillId="0" fontId="7" numFmtId="0" xfId="0" applyAlignment="1" applyFont="1">
      <alignment horizontal="center" vertical="center"/>
    </xf>
    <xf borderId="0" fillId="6" fontId="7" numFmtId="0" xfId="0" applyFont="1"/>
    <xf borderId="0" fillId="0" fontId="15" numFmtId="0" xfId="0" applyAlignment="1" applyFont="1">
      <alignment horizontal="center" readingOrder="0" vertical="center"/>
    </xf>
    <xf borderId="0" fillId="0" fontId="1" numFmtId="0" xfId="0" applyAlignment="1" applyFont="1">
      <alignment horizontal="left" readingOrder="0"/>
    </xf>
    <xf borderId="0" fillId="0" fontId="15" numFmtId="0" xfId="0" applyAlignment="1" applyFont="1">
      <alignment horizontal="center" readingOrder="0"/>
    </xf>
    <xf borderId="1" fillId="0" fontId="21" numFmtId="0" xfId="0" applyAlignment="1" applyBorder="1" applyFont="1">
      <alignment horizontal="center" readingOrder="0" shrinkToFit="0" vertical="center" wrapText="1"/>
    </xf>
    <xf borderId="0" fillId="0" fontId="15"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1" numFmtId="3"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vertical="center"/>
    </xf>
    <xf borderId="1" fillId="0" fontId="21" numFmtId="0" xfId="0" applyAlignment="1" applyBorder="1" applyFont="1">
      <alignment horizontal="center" shrinkToFit="0" vertical="center" wrapText="1"/>
    </xf>
    <xf borderId="14"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top" wrapText="1"/>
    </xf>
    <xf borderId="0" fillId="0" fontId="1" numFmtId="3"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2" numFmtId="0" xfId="0" applyFont="1"/>
    <xf borderId="1" fillId="0" fontId="22" numFmtId="0" xfId="0" applyAlignment="1" applyBorder="1" applyFont="1">
      <alignment horizontal="center" readingOrder="0" shrinkToFit="0" wrapText="1"/>
    </xf>
    <xf borderId="1" fillId="0" fontId="22" numFmtId="0" xfId="0" applyAlignment="1" applyBorder="1" applyFont="1">
      <alignment horizontal="center" shrinkToFit="0" wrapText="1"/>
    </xf>
    <xf borderId="0" fillId="0" fontId="7" numFmtId="0" xfId="0" applyAlignment="1" applyFont="1">
      <alignment vertical="center"/>
    </xf>
    <xf borderId="1" fillId="0" fontId="22" numFmtId="0" xfId="0" applyAlignment="1" applyBorder="1" applyFont="1">
      <alignment horizontal="center" shrinkToFit="0" vertical="center" wrapText="1"/>
    </xf>
    <xf borderId="10" fillId="0" fontId="22" numFmtId="0" xfId="0" applyAlignment="1" applyBorder="1" applyFont="1">
      <alignment horizontal="center" shrinkToFit="0" vertical="center" wrapText="1"/>
    </xf>
    <xf borderId="12" fillId="0" fontId="4" numFmtId="0" xfId="0" applyAlignment="1" applyBorder="1" applyFont="1">
      <alignment horizontal="center" readingOrder="0" shrinkToFit="0" vertical="center" wrapText="1"/>
    </xf>
    <xf borderId="0" fillId="0" fontId="23" numFmtId="0" xfId="0" applyAlignment="1" applyFont="1">
      <alignment horizontal="center" readingOrder="0" shrinkToFit="0" vertical="center" wrapText="1"/>
    </xf>
    <xf borderId="12" fillId="0" fontId="11" numFmtId="0" xfId="0" applyAlignment="1" applyBorder="1" applyFont="1">
      <alignment horizontal="center" readingOrder="0" shrinkToFit="0" vertical="center" wrapText="1"/>
    </xf>
    <xf borderId="0" fillId="0" fontId="24" numFmtId="0" xfId="0" applyAlignment="1" applyFont="1">
      <alignment horizontal="center" readingOrder="0" shrinkToFit="0" vertical="center" wrapText="1"/>
    </xf>
    <xf borderId="1" fillId="0" fontId="13" numFmtId="0" xfId="0" applyAlignment="1" applyBorder="1" applyFont="1">
      <alignment horizontal="center" shrinkToFit="0" wrapText="1"/>
    </xf>
    <xf borderId="1" fillId="2" fontId="13" numFmtId="0" xfId="0" applyAlignment="1" applyBorder="1" applyFont="1">
      <alignment horizontal="center" readingOrder="0" shrinkToFit="0" wrapText="1"/>
    </xf>
    <xf borderId="1" fillId="11" fontId="13" numFmtId="0" xfId="0" applyAlignment="1" applyBorder="1" applyFill="1" applyFont="1">
      <alignment horizontal="center" readingOrder="0" shrinkToFit="0" wrapText="1"/>
    </xf>
    <xf borderId="1" fillId="4" fontId="13" numFmtId="0" xfId="0" applyAlignment="1" applyBorder="1" applyFont="1">
      <alignment horizontal="center" readingOrder="0" shrinkToFit="0" wrapText="1"/>
    </xf>
    <xf borderId="1" fillId="5" fontId="13" numFmtId="0" xfId="0" applyAlignment="1" applyBorder="1" applyFont="1">
      <alignment horizontal="center" readingOrder="0" shrinkToFit="0" wrapText="1"/>
    </xf>
    <xf borderId="1" fillId="12" fontId="13" numFmtId="0" xfId="0" applyAlignment="1" applyBorder="1" applyFill="1" applyFont="1">
      <alignment horizontal="center" readingOrder="0" shrinkToFit="0" wrapText="1"/>
    </xf>
    <xf borderId="1" fillId="13" fontId="13" numFmtId="0" xfId="0" applyAlignment="1" applyBorder="1" applyFill="1" applyFont="1">
      <alignment horizontal="center" readingOrder="0" shrinkToFit="0" wrapText="1"/>
    </xf>
    <xf borderId="1" fillId="6" fontId="9" numFmtId="0" xfId="0" applyAlignment="1" applyBorder="1" applyFont="1">
      <alignment horizontal="center" shrinkToFit="0" wrapText="1"/>
    </xf>
    <xf borderId="1" fillId="6" fontId="8" numFmtId="0" xfId="0" applyBorder="1" applyFont="1"/>
    <xf borderId="1" fillId="11" fontId="17" numFmtId="0" xfId="0" applyAlignment="1" applyBorder="1" applyFont="1">
      <alignment horizontal="center" readingOrder="0" shrinkToFit="0" wrapText="1"/>
    </xf>
    <xf borderId="1" fillId="12" fontId="17" numFmtId="0" xfId="0" applyAlignment="1" applyBorder="1" applyFont="1">
      <alignment horizontal="center" readingOrder="0" shrinkToFit="0" wrapText="1"/>
    </xf>
    <xf borderId="1" fillId="0" fontId="17" numFmtId="0" xfId="0" applyAlignment="1" applyBorder="1" applyFont="1">
      <alignment horizontal="center" shrinkToFit="0" wrapText="1"/>
    </xf>
    <xf borderId="0" fillId="0" fontId="11" numFmtId="0" xfId="0" applyFont="1"/>
    <xf borderId="0" fillId="0" fontId="10" numFmtId="0" xfId="0" applyAlignment="1" applyFont="1">
      <alignment readingOrder="0"/>
    </xf>
    <xf borderId="1" fillId="2" fontId="17" numFmtId="0" xfId="0" applyAlignment="1" applyBorder="1" applyFont="1">
      <alignment horizontal="center" shrinkToFit="0" wrapText="1"/>
    </xf>
    <xf borderId="1" fillId="5" fontId="17" numFmtId="0" xfId="0" applyAlignment="1" applyBorder="1" applyFont="1">
      <alignment horizontal="center" readingOrder="0" shrinkToFit="0" wrapText="1"/>
    </xf>
    <xf borderId="1" fillId="2" fontId="17" numFmtId="0" xfId="0" applyAlignment="1" applyBorder="1" applyFont="1">
      <alignment horizontal="center" readingOrder="0" shrinkToFit="0" wrapText="1"/>
    </xf>
    <xf borderId="0" fillId="0" fontId="5" numFmtId="0" xfId="0" applyFont="1"/>
    <xf borderId="0" fillId="0" fontId="4" numFmtId="0" xfId="0" applyAlignment="1" applyFont="1">
      <alignment readingOrder="0" shrinkToFit="0" wrapText="1"/>
    </xf>
    <xf borderId="1" fillId="4" fontId="17" numFmtId="0" xfId="0" applyAlignment="1" applyBorder="1" applyFont="1">
      <alignment horizontal="center" shrinkToFit="0" wrapText="1"/>
    </xf>
    <xf borderId="1" fillId="6" fontId="17" numFmtId="0" xfId="0" applyAlignment="1" applyBorder="1" applyFont="1">
      <alignment horizontal="center" readingOrder="0" shrinkToFit="0" wrapText="1"/>
    </xf>
    <xf borderId="1" fillId="6" fontId="17" numFmtId="0" xfId="0" applyAlignment="1" applyBorder="1" applyFont="1">
      <alignment horizontal="center" shrinkToFit="0" wrapText="1"/>
    </xf>
    <xf borderId="0" fillId="0" fontId="10" numFmtId="0" xfId="0" applyAlignment="1" applyFont="1">
      <alignment readingOrder="0" shrinkToFit="0" wrapText="1"/>
    </xf>
    <xf borderId="1" fillId="0" fontId="9" numFmtId="0" xfId="0" applyAlignment="1" applyBorder="1" applyFont="1">
      <alignment horizontal="center" shrinkToFit="0" wrapText="1"/>
    </xf>
    <xf borderId="1" fillId="0" fontId="8" numFmtId="0" xfId="0" applyBorder="1" applyFont="1"/>
    <xf borderId="0" fillId="0" fontId="7" numFmtId="0" xfId="0" applyAlignment="1" applyFont="1">
      <alignment readingOrder="0"/>
    </xf>
    <xf borderId="1" fillId="11" fontId="17" numFmtId="0" xfId="0" applyAlignment="1" applyBorder="1" applyFont="1">
      <alignment horizontal="center" shrinkToFit="0" wrapText="1"/>
    </xf>
    <xf borderId="1" fillId="12" fontId="17" numFmtId="0" xfId="0" applyAlignment="1" applyBorder="1" applyFont="1">
      <alignment horizontal="center" shrinkToFit="0" wrapText="1"/>
    </xf>
    <xf borderId="0" fillId="0" fontId="10" numFmtId="0" xfId="0" applyAlignment="1" applyFont="1">
      <alignment horizontal="center" readingOrder="0" shrinkToFit="0" wrapText="1"/>
    </xf>
    <xf borderId="1" fillId="5" fontId="17" numFmtId="0" xfId="0" applyAlignment="1" applyBorder="1" applyFont="1">
      <alignment horizontal="center" shrinkToFit="0" wrapText="1"/>
    </xf>
    <xf borderId="1" fillId="0" fontId="17" numFmtId="0" xfId="0" applyAlignment="1" applyBorder="1" applyFont="1">
      <alignment horizontal="center" readingOrder="0" shrinkToFit="0" wrapText="1"/>
    </xf>
    <xf borderId="1" fillId="0" fontId="8" numFmtId="0" xfId="0" applyAlignment="1" applyBorder="1" applyFont="1">
      <alignment vertical="bottom"/>
    </xf>
    <xf borderId="0" fillId="0" fontId="10" numFmtId="0" xfId="0" applyFont="1"/>
    <xf borderId="0" fillId="6" fontId="12" numFmtId="0" xfId="0" applyAlignment="1" applyFont="1">
      <alignment horizontal="center" readingOrder="0"/>
    </xf>
    <xf borderId="0" fillId="6" fontId="9" numFmtId="0" xfId="0" applyAlignment="1" applyFont="1">
      <alignment horizontal="center" shrinkToFit="0" wrapText="1"/>
    </xf>
    <xf borderId="0" fillId="6" fontId="17" numFmtId="0" xfId="0" applyAlignment="1" applyFont="1">
      <alignment horizontal="center" shrinkToFit="0" wrapText="1"/>
    </xf>
    <xf borderId="0" fillId="6" fontId="8" numFmtId="0" xfId="0" applyFont="1"/>
    <xf borderId="0" fillId="6" fontId="17" numFmtId="0" xfId="0" applyAlignment="1" applyFont="1">
      <alignment horizontal="center" readingOrder="0" shrinkToFit="0" wrapText="1"/>
    </xf>
    <xf borderId="1" fillId="13" fontId="17" numFmtId="0" xfId="0" applyAlignment="1" applyBorder="1" applyFont="1">
      <alignment horizontal="center" readingOrder="0" shrinkToFit="0" wrapText="1"/>
    </xf>
    <xf borderId="1" fillId="0" fontId="7" numFmtId="0" xfId="0" applyBorder="1" applyFont="1"/>
    <xf borderId="1" fillId="14" fontId="17" numFmtId="0" xfId="0" applyAlignment="1" applyBorder="1" applyFill="1" applyFont="1">
      <alignment horizontal="center" readingOrder="0" vertical="center"/>
    </xf>
    <xf borderId="1" fillId="6" fontId="25" numFmtId="0" xfId="0" applyBorder="1" applyFont="1"/>
    <xf borderId="1" fillId="15" fontId="17" numFmtId="0" xfId="0" applyAlignment="1" applyBorder="1" applyFill="1" applyFont="1">
      <alignment horizontal="center" readingOrder="0" vertical="center"/>
    </xf>
    <xf borderId="0" fillId="6" fontId="10" numFmtId="0" xfId="0" applyAlignment="1" applyFont="1">
      <alignment horizontal="center" readingOrder="0" shrinkToFit="0" vertical="center" wrapText="1"/>
    </xf>
    <xf borderId="0" fillId="0" fontId="26" numFmtId="0" xfId="0" applyFont="1"/>
    <xf borderId="0" fillId="6" fontId="27" numFmtId="0" xfId="0" applyAlignment="1" applyFont="1">
      <alignment horizontal="center" readingOrder="0"/>
    </xf>
    <xf borderId="0" fillId="6" fontId="9"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5"/>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1" t="s">
        <v>4</v>
      </c>
      <c r="B3" s="1" t="s">
        <v>5</v>
      </c>
      <c r="C3" s="2"/>
      <c r="D3" s="2"/>
      <c r="E3" s="2"/>
      <c r="F3" s="2"/>
      <c r="G3" s="2"/>
      <c r="H3" s="2"/>
      <c r="I3" s="2"/>
      <c r="J3" s="2"/>
      <c r="K3" s="2"/>
      <c r="L3" s="2"/>
      <c r="M3" s="2"/>
      <c r="N3" s="2"/>
      <c r="O3" s="2"/>
      <c r="P3" s="2"/>
      <c r="Q3" s="2"/>
      <c r="R3" s="2"/>
      <c r="S3" s="2"/>
      <c r="T3" s="2"/>
      <c r="U3" s="2"/>
      <c r="V3" s="2"/>
      <c r="W3" s="2"/>
      <c r="X3" s="2"/>
      <c r="Y3" s="2"/>
      <c r="Z3" s="2"/>
    </row>
    <row r="4">
      <c r="A4" s="1" t="s">
        <v>6</v>
      </c>
      <c r="B4" s="1" t="s">
        <v>7</v>
      </c>
      <c r="C4" s="2"/>
      <c r="D4" s="2"/>
      <c r="E4" s="2"/>
      <c r="F4" s="2"/>
      <c r="G4" s="2"/>
      <c r="H4" s="2"/>
      <c r="I4" s="2"/>
      <c r="J4" s="2"/>
      <c r="K4" s="2"/>
      <c r="L4" s="2"/>
      <c r="M4" s="2"/>
      <c r="N4" s="2"/>
      <c r="O4" s="2"/>
      <c r="P4" s="2"/>
      <c r="Q4" s="2"/>
      <c r="R4" s="2"/>
      <c r="S4" s="2"/>
      <c r="T4" s="2"/>
      <c r="U4" s="2"/>
      <c r="V4" s="2"/>
      <c r="W4" s="2"/>
      <c r="X4" s="2"/>
      <c r="Y4" s="2"/>
      <c r="Z4" s="2"/>
    </row>
    <row r="5">
      <c r="A5" s="1" t="s">
        <v>8</v>
      </c>
      <c r="B5" s="1" t="s">
        <v>9</v>
      </c>
      <c r="C5" s="2"/>
      <c r="D5" s="2"/>
      <c r="E5" s="2"/>
      <c r="F5" s="2"/>
      <c r="G5" s="2"/>
      <c r="H5" s="2"/>
      <c r="I5" s="2"/>
      <c r="J5" s="2"/>
      <c r="K5" s="2"/>
      <c r="L5" s="2"/>
      <c r="M5" s="2"/>
      <c r="N5" s="2"/>
      <c r="O5" s="2"/>
      <c r="P5" s="2"/>
      <c r="Q5" s="2"/>
      <c r="R5" s="2"/>
      <c r="S5" s="2"/>
      <c r="T5" s="2"/>
      <c r="U5" s="2"/>
      <c r="V5" s="2"/>
      <c r="W5" s="2"/>
      <c r="X5" s="2"/>
      <c r="Y5" s="2"/>
      <c r="Z5" s="2"/>
    </row>
    <row r="6">
      <c r="A6" s="1" t="s">
        <v>10</v>
      </c>
      <c r="B6" s="1" t="s">
        <v>11</v>
      </c>
      <c r="C6" s="2"/>
      <c r="D6" s="2"/>
      <c r="E6" s="2"/>
      <c r="F6" s="2"/>
      <c r="G6" s="2"/>
      <c r="H6" s="2"/>
      <c r="I6" s="2"/>
      <c r="J6" s="2"/>
      <c r="K6" s="2"/>
      <c r="L6" s="2"/>
      <c r="M6" s="2"/>
      <c r="N6" s="2"/>
      <c r="O6" s="2"/>
      <c r="P6" s="2"/>
      <c r="Q6" s="2"/>
      <c r="R6" s="2"/>
      <c r="S6" s="2"/>
      <c r="T6" s="2"/>
      <c r="U6" s="2"/>
      <c r="V6" s="2"/>
      <c r="W6" s="2"/>
      <c r="X6" s="2"/>
      <c r="Y6" s="2"/>
      <c r="Z6" s="2"/>
    </row>
    <row r="7">
      <c r="A7" s="1" t="s">
        <v>12</v>
      </c>
      <c r="B7" s="1" t="s">
        <v>13</v>
      </c>
      <c r="C7" s="2"/>
      <c r="D7" s="2"/>
      <c r="E7" s="2"/>
      <c r="F7" s="2"/>
      <c r="G7" s="2"/>
      <c r="H7" s="2"/>
      <c r="I7" s="2"/>
      <c r="J7" s="2"/>
      <c r="K7" s="2"/>
      <c r="L7" s="2"/>
      <c r="M7" s="2"/>
      <c r="N7" s="2"/>
      <c r="O7" s="2"/>
      <c r="P7" s="2"/>
      <c r="Q7" s="2"/>
      <c r="R7" s="2"/>
      <c r="S7" s="2"/>
      <c r="T7" s="2"/>
      <c r="U7" s="2"/>
      <c r="V7" s="2"/>
      <c r="W7" s="2"/>
      <c r="X7" s="2"/>
      <c r="Y7" s="2"/>
      <c r="Z7" s="2"/>
    </row>
    <row r="8">
      <c r="A8" s="3"/>
      <c r="B8" s="3"/>
      <c r="C8" s="2"/>
      <c r="D8" s="2"/>
      <c r="E8" s="2"/>
      <c r="F8" s="2"/>
      <c r="G8" s="2"/>
      <c r="H8" s="2"/>
      <c r="I8" s="2"/>
      <c r="J8" s="2"/>
      <c r="K8" s="2"/>
      <c r="L8" s="2"/>
      <c r="M8" s="2"/>
      <c r="N8" s="2"/>
      <c r="O8" s="2"/>
      <c r="P8" s="2"/>
      <c r="Q8" s="2"/>
      <c r="R8" s="2"/>
      <c r="S8" s="2"/>
      <c r="T8" s="2"/>
      <c r="U8" s="2"/>
      <c r="V8" s="2"/>
      <c r="W8" s="2"/>
      <c r="X8" s="2"/>
      <c r="Y8" s="2"/>
      <c r="Z8" s="2"/>
    </row>
    <row r="9">
      <c r="A9" s="3"/>
      <c r="B9" s="3"/>
      <c r="C9" s="2"/>
      <c r="D9" s="2"/>
      <c r="E9" s="2"/>
      <c r="F9" s="2"/>
      <c r="G9" s="2"/>
      <c r="H9" s="2"/>
      <c r="I9" s="2"/>
      <c r="J9" s="2"/>
      <c r="K9" s="2"/>
      <c r="L9" s="2"/>
      <c r="M9" s="2"/>
      <c r="N9" s="2"/>
      <c r="O9" s="2"/>
      <c r="P9" s="2"/>
      <c r="Q9" s="2"/>
      <c r="R9" s="2"/>
      <c r="S9" s="2"/>
      <c r="T9" s="2"/>
      <c r="U9" s="2"/>
      <c r="V9" s="2"/>
      <c r="W9" s="2"/>
      <c r="X9" s="2"/>
      <c r="Y9" s="2"/>
      <c r="Z9" s="2"/>
    </row>
    <row r="10" ht="30.0"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4" t="s">
        <v>14</v>
      </c>
      <c r="B11" s="5"/>
      <c r="C11" s="2"/>
      <c r="D11" s="2"/>
      <c r="E11" s="2"/>
      <c r="F11" s="2"/>
      <c r="G11" s="2"/>
      <c r="H11" s="2"/>
      <c r="I11" s="2"/>
      <c r="J11" s="2"/>
      <c r="K11" s="2"/>
      <c r="L11" s="2"/>
      <c r="M11" s="2"/>
      <c r="N11" s="2"/>
      <c r="O11" s="2"/>
      <c r="P11" s="2"/>
      <c r="Q11" s="2"/>
      <c r="R11" s="2"/>
      <c r="S11" s="2"/>
      <c r="T11" s="2"/>
      <c r="U11" s="2"/>
      <c r="V11" s="2"/>
      <c r="W11" s="2"/>
      <c r="X11" s="2"/>
      <c r="Y11" s="2"/>
      <c r="Z11" s="2"/>
    </row>
    <row r="12">
      <c r="A12" s="6"/>
      <c r="B12" s="7"/>
      <c r="C12" s="2"/>
      <c r="D12" s="2"/>
      <c r="E12" s="2"/>
      <c r="F12" s="2"/>
      <c r="G12" s="2"/>
      <c r="H12" s="2"/>
      <c r="I12" s="2"/>
      <c r="J12" s="2"/>
      <c r="K12" s="2"/>
      <c r="L12" s="2"/>
      <c r="M12" s="2"/>
      <c r="N12" s="2"/>
      <c r="O12" s="2"/>
      <c r="P12" s="2"/>
      <c r="Q12" s="2"/>
      <c r="R12" s="2"/>
      <c r="S12" s="2"/>
      <c r="T12" s="2"/>
      <c r="U12" s="2"/>
      <c r="V12" s="2"/>
      <c r="W12" s="2"/>
      <c r="X12" s="2"/>
      <c r="Y12" s="2"/>
      <c r="Z12" s="2"/>
    </row>
    <row r="13">
      <c r="A13" s="6"/>
      <c r="B13" s="7"/>
      <c r="C13" s="2"/>
      <c r="D13" s="2"/>
      <c r="E13" s="2"/>
      <c r="F13" s="2"/>
      <c r="G13" s="2"/>
      <c r="H13" s="2"/>
      <c r="I13" s="2"/>
      <c r="J13" s="2"/>
      <c r="K13" s="2"/>
      <c r="L13" s="2"/>
      <c r="M13" s="2"/>
      <c r="N13" s="2"/>
      <c r="O13" s="2"/>
      <c r="P13" s="2"/>
      <c r="Q13" s="2"/>
      <c r="R13" s="2"/>
      <c r="S13" s="2"/>
      <c r="T13" s="2"/>
      <c r="U13" s="2"/>
      <c r="V13" s="2"/>
      <c r="W13" s="2"/>
      <c r="X13" s="2"/>
      <c r="Y13" s="2"/>
      <c r="Z13" s="2"/>
    </row>
    <row r="14" ht="87.0" customHeight="1">
      <c r="A14" s="8"/>
      <c r="B14" s="9"/>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1:B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6.75"/>
  </cols>
  <sheetData>
    <row r="1">
      <c r="A1" s="10" t="s">
        <v>15</v>
      </c>
      <c r="B1" s="11" t="s">
        <v>16</v>
      </c>
      <c r="C1" s="12" t="s">
        <v>17</v>
      </c>
      <c r="D1" s="13" t="s">
        <v>18</v>
      </c>
    </row>
    <row r="2">
      <c r="A2" s="14" t="s">
        <v>19</v>
      </c>
      <c r="B2" s="15">
        <v>1.5</v>
      </c>
      <c r="C2" s="16" t="s">
        <v>20</v>
      </c>
      <c r="D2" s="16" t="s">
        <v>21</v>
      </c>
    </row>
    <row r="3">
      <c r="A3" s="14" t="s">
        <v>22</v>
      </c>
      <c r="B3" s="15">
        <v>6.5</v>
      </c>
      <c r="C3" s="16" t="s">
        <v>23</v>
      </c>
      <c r="D3" s="16" t="s">
        <v>24</v>
      </c>
      <c r="F3" s="17">
        <f>SUM(B2:B24)</f>
        <v>100</v>
      </c>
    </row>
    <row r="4">
      <c r="A4" s="14" t="s">
        <v>25</v>
      </c>
      <c r="B4" s="15">
        <v>6.5</v>
      </c>
      <c r="C4" s="16" t="s">
        <v>26</v>
      </c>
      <c r="D4" s="16" t="s">
        <v>26</v>
      </c>
    </row>
    <row r="5">
      <c r="A5" s="14" t="s">
        <v>27</v>
      </c>
      <c r="B5" s="15">
        <v>6.5</v>
      </c>
      <c r="C5" s="16" t="s">
        <v>28</v>
      </c>
      <c r="D5" s="16" t="s">
        <v>26</v>
      </c>
    </row>
    <row r="6">
      <c r="A6" s="14" t="s">
        <v>29</v>
      </c>
      <c r="B6" s="15">
        <v>6.5</v>
      </c>
      <c r="C6" s="16" t="s">
        <v>30</v>
      </c>
      <c r="D6" s="16" t="s">
        <v>26</v>
      </c>
    </row>
    <row r="7">
      <c r="A7" s="14" t="s">
        <v>31</v>
      </c>
      <c r="B7" s="15">
        <v>5.25</v>
      </c>
      <c r="C7" s="16" t="s">
        <v>32</v>
      </c>
      <c r="D7" s="18" t="s">
        <v>33</v>
      </c>
    </row>
    <row r="8">
      <c r="A8" s="14" t="s">
        <v>34</v>
      </c>
      <c r="B8" s="15">
        <v>5.25</v>
      </c>
      <c r="C8" s="16" t="s">
        <v>35</v>
      </c>
      <c r="D8" s="16" t="s">
        <v>26</v>
      </c>
    </row>
    <row r="9">
      <c r="A9" s="14" t="s">
        <v>36</v>
      </c>
      <c r="B9" s="15">
        <v>5.25</v>
      </c>
      <c r="C9" s="16" t="s">
        <v>26</v>
      </c>
      <c r="D9" s="18" t="s">
        <v>37</v>
      </c>
    </row>
    <row r="10">
      <c r="A10" s="14" t="s">
        <v>38</v>
      </c>
      <c r="B10" s="15">
        <v>5.25</v>
      </c>
      <c r="C10" s="16" t="s">
        <v>26</v>
      </c>
      <c r="D10" s="18" t="s">
        <v>39</v>
      </c>
    </row>
    <row r="11">
      <c r="A11" s="14" t="s">
        <v>40</v>
      </c>
      <c r="B11" s="15">
        <v>4.5</v>
      </c>
      <c r="C11" s="16" t="s">
        <v>26</v>
      </c>
      <c r="D11" s="18" t="s">
        <v>41</v>
      </c>
    </row>
    <row r="12">
      <c r="A12" s="14" t="s">
        <v>42</v>
      </c>
      <c r="B12" s="15">
        <v>4.5</v>
      </c>
      <c r="C12" s="16" t="s">
        <v>43</v>
      </c>
      <c r="D12" s="16" t="s">
        <v>26</v>
      </c>
    </row>
    <row r="13">
      <c r="A13" s="14" t="s">
        <v>44</v>
      </c>
      <c r="B13" s="15">
        <v>4.5</v>
      </c>
      <c r="C13" s="16" t="s">
        <v>26</v>
      </c>
      <c r="D13" s="16" t="s">
        <v>45</v>
      </c>
    </row>
    <row r="14">
      <c r="A14" s="14" t="s">
        <v>46</v>
      </c>
      <c r="B14" s="15">
        <v>4.5</v>
      </c>
      <c r="C14" s="19" t="s">
        <v>47</v>
      </c>
      <c r="D14" s="19" t="s">
        <v>48</v>
      </c>
    </row>
    <row r="15">
      <c r="A15" s="14" t="s">
        <v>49</v>
      </c>
      <c r="B15" s="15">
        <v>4.0</v>
      </c>
      <c r="C15" s="16" t="s">
        <v>50</v>
      </c>
      <c r="D15" s="16" t="s">
        <v>26</v>
      </c>
    </row>
    <row r="16">
      <c r="A16" s="14" t="s">
        <v>51</v>
      </c>
      <c r="B16" s="15">
        <v>4.0</v>
      </c>
      <c r="C16" s="16" t="s">
        <v>52</v>
      </c>
      <c r="D16" s="16" t="s">
        <v>53</v>
      </c>
    </row>
    <row r="17">
      <c r="A17" s="14" t="s">
        <v>54</v>
      </c>
      <c r="B17" s="15">
        <v>4.0</v>
      </c>
      <c r="C17" s="16" t="s">
        <v>26</v>
      </c>
      <c r="D17" s="18" t="s">
        <v>55</v>
      </c>
    </row>
    <row r="18">
      <c r="A18" s="14" t="s">
        <v>56</v>
      </c>
      <c r="B18" s="15">
        <v>4.0</v>
      </c>
      <c r="C18" s="16" t="s">
        <v>57</v>
      </c>
      <c r="D18" s="16" t="s">
        <v>26</v>
      </c>
    </row>
    <row r="19">
      <c r="A19" s="14" t="s">
        <v>58</v>
      </c>
      <c r="B19" s="15">
        <v>2.0</v>
      </c>
      <c r="C19" s="16" t="s">
        <v>59</v>
      </c>
      <c r="D19" s="16" t="s">
        <v>26</v>
      </c>
    </row>
    <row r="20">
      <c r="A20" s="14" t="s">
        <v>60</v>
      </c>
      <c r="B20" s="15">
        <v>3.5</v>
      </c>
      <c r="C20" s="16" t="s">
        <v>61</v>
      </c>
      <c r="D20" s="18" t="s">
        <v>62</v>
      </c>
    </row>
    <row r="21">
      <c r="A21" s="14" t="s">
        <v>63</v>
      </c>
      <c r="B21" s="15">
        <v>3.5</v>
      </c>
      <c r="C21" s="16" t="s">
        <v>64</v>
      </c>
      <c r="D21" s="16" t="s">
        <v>65</v>
      </c>
    </row>
    <row r="22">
      <c r="A22" s="14" t="s">
        <v>66</v>
      </c>
      <c r="B22" s="15">
        <v>3.5</v>
      </c>
      <c r="C22" s="20" t="s">
        <v>67</v>
      </c>
      <c r="D22" s="16" t="s">
        <v>68</v>
      </c>
    </row>
    <row r="23">
      <c r="A23" s="14" t="s">
        <v>69</v>
      </c>
      <c r="B23" s="15">
        <v>2.5</v>
      </c>
      <c r="C23" s="20" t="s">
        <v>70</v>
      </c>
      <c r="D23" s="16" t="s">
        <v>26</v>
      </c>
    </row>
    <row r="24">
      <c r="A24" s="14" t="s">
        <v>71</v>
      </c>
      <c r="B24" s="15">
        <v>2.5</v>
      </c>
      <c r="C24" s="20" t="s">
        <v>72</v>
      </c>
      <c r="D24" s="16" t="s">
        <v>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3" max="3" width="7.75"/>
    <col customWidth="1" min="4" max="4" width="25.38"/>
    <col customWidth="1" min="6" max="6" width="4.88"/>
    <col customWidth="1" min="7" max="8" width="7.5"/>
    <col customWidth="1" min="9" max="9" width="26.5"/>
    <col customWidth="1" min="11" max="11" width="6.38"/>
    <col customWidth="1" min="13" max="13" width="8.63"/>
    <col customWidth="1" min="14" max="14" width="22.38"/>
    <col customWidth="1" min="15" max="15" width="6.5"/>
    <col customWidth="1" min="16" max="16" width="7.13"/>
    <col customWidth="1" min="18" max="18" width="8.88"/>
    <col customWidth="1" min="19" max="19" width="30.75"/>
    <col customWidth="1" min="20" max="21" width="7.25"/>
    <col customWidth="1" min="24" max="24" width="33.13"/>
    <col customWidth="1" min="25" max="25" width="6.38"/>
    <col customWidth="1" min="26" max="26" width="6.25"/>
    <col customWidth="1" min="27" max="29" width="31.75"/>
    <col customWidth="1" min="30" max="30" width="10.38"/>
    <col customWidth="1" min="31" max="31" width="11.88"/>
    <col customWidth="1" min="32" max="32" width="6.5"/>
    <col customWidth="1" min="33" max="33" width="11.38"/>
    <col customWidth="1" min="34" max="34" width="35.75"/>
    <col customWidth="1" min="35" max="35" width="14.88"/>
    <col customWidth="1" min="36" max="36" width="10.0"/>
    <col customWidth="1" min="37" max="37" width="14.13"/>
    <col customWidth="1" min="38" max="38" width="11.25"/>
    <col customWidth="1" min="39" max="39" width="31.75"/>
    <col customWidth="1" min="40" max="40" width="10.88"/>
    <col customWidth="1" min="41" max="41" width="11.0"/>
    <col customWidth="1" min="42" max="42" width="15.63"/>
    <col customWidth="1" min="43" max="43" width="11.38"/>
    <col customWidth="1" min="44" max="44" width="31.75"/>
    <col customWidth="1" min="45" max="45" width="12.38"/>
    <col customWidth="1" min="46" max="47" width="15.38"/>
    <col customWidth="1" min="48" max="48" width="15.13"/>
    <col customWidth="1" min="49" max="49" width="31.75"/>
    <col customWidth="1" min="50" max="50" width="10.88"/>
    <col customWidth="1" min="51" max="51" width="13.13"/>
    <col customWidth="1" min="52" max="52" width="22.88"/>
    <col customWidth="1" min="53" max="53" width="17.63"/>
    <col customWidth="1" min="54" max="54" width="31.75"/>
    <col customWidth="1" min="55" max="55" width="8.88"/>
    <col customWidth="1" min="56" max="56" width="12.13"/>
    <col customWidth="1" min="57" max="57" width="17.13"/>
    <col customWidth="1" min="58" max="58" width="12.0"/>
    <col customWidth="1" min="59" max="59" width="33.0"/>
    <col customWidth="1" min="60" max="60" width="10.5"/>
    <col customWidth="1" min="61" max="61" width="11.88"/>
    <col customWidth="1" min="62" max="62" width="15.88"/>
    <col customWidth="1" min="63" max="63" width="12.5"/>
    <col customWidth="1" min="64" max="64" width="33.0"/>
    <col customWidth="1" min="65" max="65" width="8.75"/>
    <col customWidth="1" min="66" max="66" width="58.75"/>
    <col customWidth="1" min="67" max="67" width="7.25"/>
    <col customWidth="1" min="68" max="68" width="12.63"/>
    <col customWidth="1" min="69" max="71" width="33.0"/>
  </cols>
  <sheetData>
    <row r="1">
      <c r="A1" s="21" t="s">
        <v>23</v>
      </c>
      <c r="E1" s="22"/>
      <c r="F1" s="21" t="s">
        <v>35</v>
      </c>
      <c r="K1" s="21" t="s">
        <v>50</v>
      </c>
      <c r="P1" s="21" t="s">
        <v>57</v>
      </c>
      <c r="U1" s="21" t="s">
        <v>73</v>
      </c>
      <c r="Z1" s="23" t="s">
        <v>74</v>
      </c>
      <c r="AD1" s="21"/>
      <c r="AE1" s="21" t="s">
        <v>28</v>
      </c>
      <c r="AI1" s="21"/>
      <c r="AJ1" s="21" t="s">
        <v>43</v>
      </c>
      <c r="AN1" s="21"/>
      <c r="AO1" s="21" t="s">
        <v>75</v>
      </c>
      <c r="AS1" s="21"/>
      <c r="AT1" s="21" t="s">
        <v>67</v>
      </c>
      <c r="AX1" s="21"/>
      <c r="AY1" s="21" t="s">
        <v>61</v>
      </c>
      <c r="BC1" s="21"/>
      <c r="BD1" s="21" t="s">
        <v>35</v>
      </c>
      <c r="BH1" s="21"/>
      <c r="BI1" s="23" t="s">
        <v>76</v>
      </c>
      <c r="BM1" s="21"/>
      <c r="BN1" s="24" t="s">
        <v>77</v>
      </c>
      <c r="BO1" s="25"/>
      <c r="BQ1" s="26" t="s">
        <v>78</v>
      </c>
      <c r="BR1" s="27"/>
      <c r="BS1" s="5"/>
    </row>
    <row r="2" ht="53.25" customHeight="1">
      <c r="A2" s="28" t="s">
        <v>79</v>
      </c>
      <c r="B2" s="28" t="s">
        <v>80</v>
      </c>
      <c r="C2" s="28" t="s">
        <v>16</v>
      </c>
      <c r="D2" s="28" t="s">
        <v>81</v>
      </c>
      <c r="E2" s="22"/>
      <c r="F2" s="28" t="s">
        <v>79</v>
      </c>
      <c r="G2" s="28" t="s">
        <v>82</v>
      </c>
      <c r="H2" s="28" t="s">
        <v>16</v>
      </c>
      <c r="I2" s="28" t="s">
        <v>81</v>
      </c>
      <c r="K2" s="28" t="s">
        <v>79</v>
      </c>
      <c r="L2" s="28" t="s">
        <v>49</v>
      </c>
      <c r="M2" s="28" t="s">
        <v>16</v>
      </c>
      <c r="N2" s="28" t="s">
        <v>83</v>
      </c>
      <c r="P2" s="28" t="s">
        <v>79</v>
      </c>
      <c r="Q2" s="28" t="s">
        <v>57</v>
      </c>
      <c r="R2" s="28" t="s">
        <v>16</v>
      </c>
      <c r="S2" s="28" t="s">
        <v>83</v>
      </c>
      <c r="U2" s="28" t="s">
        <v>79</v>
      </c>
      <c r="V2" s="28" t="s">
        <v>73</v>
      </c>
      <c r="W2" s="28" t="s">
        <v>16</v>
      </c>
      <c r="X2" s="28" t="s">
        <v>83</v>
      </c>
      <c r="Z2" s="28" t="s">
        <v>79</v>
      </c>
      <c r="AA2" s="28" t="s">
        <v>84</v>
      </c>
      <c r="AB2" s="28" t="s">
        <v>16</v>
      </c>
      <c r="AC2" s="28" t="s">
        <v>81</v>
      </c>
      <c r="AD2" s="21"/>
      <c r="AE2" s="28" t="s">
        <v>79</v>
      </c>
      <c r="AF2" s="28" t="s">
        <v>85</v>
      </c>
      <c r="AG2" s="28" t="s">
        <v>16</v>
      </c>
      <c r="AH2" s="28" t="s">
        <v>81</v>
      </c>
      <c r="AI2" s="21"/>
      <c r="AJ2" s="28" t="s">
        <v>79</v>
      </c>
      <c r="AK2" s="29" t="s">
        <v>82</v>
      </c>
      <c r="AL2" s="29" t="s">
        <v>16</v>
      </c>
      <c r="AM2" s="29" t="s">
        <v>83</v>
      </c>
      <c r="AN2" s="30"/>
      <c r="AO2" s="28" t="s">
        <v>79</v>
      </c>
      <c r="AP2" s="28" t="s">
        <v>82</v>
      </c>
      <c r="AQ2" s="28" t="s">
        <v>16</v>
      </c>
      <c r="AR2" s="28" t="s">
        <v>81</v>
      </c>
      <c r="AS2" s="21"/>
      <c r="AT2" s="28" t="s">
        <v>79</v>
      </c>
      <c r="AU2" s="28" t="s">
        <v>86</v>
      </c>
      <c r="AV2" s="28" t="s">
        <v>16</v>
      </c>
      <c r="AW2" s="28" t="s">
        <v>81</v>
      </c>
      <c r="AX2" s="21"/>
      <c r="AY2" s="28" t="s">
        <v>79</v>
      </c>
      <c r="AZ2" s="28" t="s">
        <v>61</v>
      </c>
      <c r="BA2" s="28" t="s">
        <v>16</v>
      </c>
      <c r="BB2" s="28" t="s">
        <v>81</v>
      </c>
      <c r="BC2" s="21"/>
      <c r="BD2" s="28" t="s">
        <v>79</v>
      </c>
      <c r="BE2" s="28" t="s">
        <v>82</v>
      </c>
      <c r="BF2" s="28" t="s">
        <v>16</v>
      </c>
      <c r="BG2" s="28" t="s">
        <v>81</v>
      </c>
      <c r="BH2" s="21"/>
      <c r="BI2" s="28" t="s">
        <v>79</v>
      </c>
      <c r="BJ2" s="28" t="s">
        <v>52</v>
      </c>
      <c r="BK2" s="28" t="s">
        <v>16</v>
      </c>
      <c r="BL2" s="28" t="s">
        <v>81</v>
      </c>
      <c r="BM2" s="21"/>
      <c r="BN2" s="31" t="s">
        <v>87</v>
      </c>
      <c r="BO2" s="32"/>
      <c r="BP2" s="28" t="s">
        <v>79</v>
      </c>
      <c r="BQ2" s="33" t="s">
        <v>88</v>
      </c>
      <c r="BR2" s="33" t="s">
        <v>16</v>
      </c>
      <c r="BS2" s="33" t="s">
        <v>89</v>
      </c>
    </row>
    <row r="3">
      <c r="A3" s="34">
        <v>1.0</v>
      </c>
      <c r="B3" s="34">
        <v>1.0</v>
      </c>
      <c r="C3" s="34">
        <v>5.0</v>
      </c>
      <c r="D3" s="34" t="s">
        <v>90</v>
      </c>
      <c r="E3" s="22"/>
      <c r="F3" s="34">
        <v>1.0</v>
      </c>
      <c r="G3" s="34" t="s">
        <v>91</v>
      </c>
      <c r="H3" s="34">
        <v>42.0</v>
      </c>
      <c r="I3" s="34" t="s">
        <v>92</v>
      </c>
      <c r="K3" s="34">
        <v>1.0</v>
      </c>
      <c r="L3" s="28" t="s">
        <v>93</v>
      </c>
      <c r="M3" s="31">
        <v>20.0</v>
      </c>
      <c r="N3" s="31" t="s">
        <v>94</v>
      </c>
      <c r="P3" s="34">
        <v>1.0</v>
      </c>
      <c r="Q3" s="29" t="s">
        <v>95</v>
      </c>
      <c r="R3" s="34">
        <v>9.0</v>
      </c>
      <c r="S3" s="31" t="s">
        <v>96</v>
      </c>
      <c r="U3" s="34">
        <v>1.0</v>
      </c>
      <c r="V3" s="28" t="s">
        <v>97</v>
      </c>
      <c r="W3" s="34">
        <v>30.0</v>
      </c>
      <c r="X3" s="34" t="s">
        <v>98</v>
      </c>
      <c r="Z3" s="34">
        <v>1.0</v>
      </c>
      <c r="AA3" s="28" t="s">
        <v>99</v>
      </c>
      <c r="AB3" s="34">
        <v>14.282</v>
      </c>
      <c r="AC3" s="35" t="s">
        <v>100</v>
      </c>
      <c r="AD3" s="36"/>
      <c r="AE3" s="34">
        <v>1.0</v>
      </c>
      <c r="AF3" s="34" t="s">
        <v>101</v>
      </c>
      <c r="AG3" s="34">
        <v>30.0</v>
      </c>
      <c r="AH3" s="34" t="s">
        <v>102</v>
      </c>
      <c r="AI3" s="36"/>
      <c r="AJ3" s="34">
        <v>1.0</v>
      </c>
      <c r="AK3" s="37" t="s">
        <v>103</v>
      </c>
      <c r="AL3" s="37">
        <v>9.0</v>
      </c>
      <c r="AM3" s="37" t="s">
        <v>104</v>
      </c>
      <c r="AN3" s="38"/>
      <c r="AO3" s="34">
        <v>1.0</v>
      </c>
      <c r="AP3" s="34" t="s">
        <v>105</v>
      </c>
      <c r="AQ3" s="34">
        <v>25.0</v>
      </c>
      <c r="AR3" s="31" t="s">
        <v>106</v>
      </c>
      <c r="AS3" s="32"/>
      <c r="AT3" s="34">
        <v>1.0</v>
      </c>
      <c r="AU3" s="28" t="s">
        <v>107</v>
      </c>
      <c r="AV3" s="34">
        <v>25.0</v>
      </c>
      <c r="AW3" s="35" t="s">
        <v>108</v>
      </c>
      <c r="AX3" s="36"/>
      <c r="AY3" s="34">
        <v>1.0</v>
      </c>
      <c r="AZ3" s="39" t="s">
        <v>109</v>
      </c>
      <c r="BA3" s="34">
        <v>40.0</v>
      </c>
      <c r="BB3" s="37" t="s">
        <v>110</v>
      </c>
      <c r="BC3" s="38"/>
      <c r="BD3" s="34">
        <v>1.0</v>
      </c>
      <c r="BE3" s="31" t="s">
        <v>111</v>
      </c>
      <c r="BF3" s="31">
        <v>50.0</v>
      </c>
      <c r="BG3" s="31" t="s">
        <v>112</v>
      </c>
      <c r="BH3" s="32"/>
      <c r="BI3" s="34">
        <v>1.0</v>
      </c>
      <c r="BJ3" s="39">
        <v>45689.0</v>
      </c>
      <c r="BK3" s="34">
        <v>2.5</v>
      </c>
      <c r="BL3" s="34" t="s">
        <v>113</v>
      </c>
      <c r="BM3" s="40"/>
      <c r="BN3" s="40"/>
      <c r="BO3" s="40"/>
      <c r="BP3" s="34">
        <v>1.0</v>
      </c>
      <c r="BQ3" s="33" t="s">
        <v>114</v>
      </c>
      <c r="BR3" s="41">
        <v>10.0</v>
      </c>
      <c r="BS3" s="41" t="s">
        <v>115</v>
      </c>
    </row>
    <row r="4">
      <c r="A4" s="34">
        <v>2.0</v>
      </c>
      <c r="B4" s="34">
        <v>50.0</v>
      </c>
      <c r="C4" s="34">
        <v>10.0</v>
      </c>
      <c r="D4" s="34" t="s">
        <v>116</v>
      </c>
      <c r="E4" s="22"/>
      <c r="F4" s="34">
        <v>2.0</v>
      </c>
      <c r="G4" s="34" t="s">
        <v>117</v>
      </c>
      <c r="H4" s="34">
        <v>30.0</v>
      </c>
      <c r="I4" s="34" t="s">
        <v>118</v>
      </c>
      <c r="K4" s="34">
        <v>2.0</v>
      </c>
      <c r="L4" s="28" t="s">
        <v>119</v>
      </c>
      <c r="M4" s="31">
        <v>20.0</v>
      </c>
      <c r="N4" s="31" t="s">
        <v>120</v>
      </c>
      <c r="P4" s="34">
        <v>2.0</v>
      </c>
      <c r="Q4" s="29" t="s">
        <v>121</v>
      </c>
      <c r="R4" s="34">
        <v>9.0</v>
      </c>
      <c r="S4" s="31" t="s">
        <v>122</v>
      </c>
      <c r="U4" s="34">
        <v>2.0</v>
      </c>
      <c r="V4" s="28" t="s">
        <v>123</v>
      </c>
      <c r="W4" s="34">
        <v>7.0</v>
      </c>
      <c r="X4" s="31" t="s">
        <v>106</v>
      </c>
      <c r="Z4" s="34">
        <v>2.0</v>
      </c>
      <c r="AA4" s="28" t="s">
        <v>124</v>
      </c>
      <c r="AB4" s="34">
        <v>14.282</v>
      </c>
      <c r="AC4" s="31" t="s">
        <v>125</v>
      </c>
      <c r="AD4" s="32"/>
      <c r="AE4" s="34">
        <v>2.0</v>
      </c>
      <c r="AF4" s="34" t="s">
        <v>126</v>
      </c>
      <c r="AG4" s="34">
        <v>35.0</v>
      </c>
      <c r="AH4" s="34" t="s">
        <v>127</v>
      </c>
      <c r="AI4" s="32"/>
      <c r="AJ4" s="34">
        <v>2.0</v>
      </c>
      <c r="AK4" s="37" t="s">
        <v>128</v>
      </c>
      <c r="AL4" s="37">
        <v>8.0</v>
      </c>
      <c r="AM4" s="37" t="s">
        <v>129</v>
      </c>
      <c r="AN4" s="38"/>
      <c r="AO4" s="34">
        <v>2.0</v>
      </c>
      <c r="AP4" s="34" t="s">
        <v>130</v>
      </c>
      <c r="AQ4" s="34">
        <v>25.0</v>
      </c>
      <c r="AR4" s="31" t="s">
        <v>131</v>
      </c>
      <c r="AS4" s="32"/>
      <c r="AT4" s="34">
        <v>2.0</v>
      </c>
      <c r="AU4" s="28" t="s">
        <v>132</v>
      </c>
      <c r="AV4" s="34">
        <v>25.0</v>
      </c>
      <c r="AW4" s="31" t="s">
        <v>133</v>
      </c>
      <c r="AX4" s="32"/>
      <c r="AY4" s="34">
        <v>2.0</v>
      </c>
      <c r="AZ4" s="28" t="s">
        <v>134</v>
      </c>
      <c r="BA4" s="34">
        <v>21.0</v>
      </c>
      <c r="BB4" s="31" t="s">
        <v>135</v>
      </c>
      <c r="BC4" s="32"/>
      <c r="BD4" s="34">
        <v>2.0</v>
      </c>
      <c r="BE4" s="31" t="s">
        <v>136</v>
      </c>
      <c r="BF4" s="31">
        <v>40.0</v>
      </c>
      <c r="BG4" s="42" t="s">
        <v>137</v>
      </c>
      <c r="BH4" s="43"/>
      <c r="BI4" s="34">
        <v>2.0</v>
      </c>
      <c r="BJ4" s="28" t="s">
        <v>138</v>
      </c>
      <c r="BK4" s="34">
        <v>5.0</v>
      </c>
      <c r="BL4" s="31" t="s">
        <v>110</v>
      </c>
      <c r="BM4" s="32"/>
      <c r="BN4" s="32"/>
      <c r="BO4" s="32"/>
      <c r="BP4" s="34">
        <v>2.0</v>
      </c>
      <c r="BQ4" s="33" t="s">
        <v>139</v>
      </c>
      <c r="BR4" s="41">
        <v>10.0</v>
      </c>
      <c r="BS4" s="41" t="s">
        <v>140</v>
      </c>
    </row>
    <row r="5">
      <c r="A5" s="34">
        <v>3.0</v>
      </c>
      <c r="B5" s="34">
        <v>100.0</v>
      </c>
      <c r="C5" s="34">
        <v>25.0</v>
      </c>
      <c r="D5" s="31" t="s">
        <v>141</v>
      </c>
      <c r="E5" s="22"/>
      <c r="F5" s="34">
        <v>3.0</v>
      </c>
      <c r="G5" s="34" t="s">
        <v>142</v>
      </c>
      <c r="H5" s="34">
        <v>25.0</v>
      </c>
      <c r="I5" s="31" t="s">
        <v>143</v>
      </c>
      <c r="K5" s="34">
        <v>3.0</v>
      </c>
      <c r="L5" s="44" t="s">
        <v>144</v>
      </c>
      <c r="M5" s="45">
        <v>20.0</v>
      </c>
      <c r="N5" s="45" t="s">
        <v>145</v>
      </c>
      <c r="P5" s="34">
        <v>3.0</v>
      </c>
      <c r="Q5" s="29" t="s">
        <v>146</v>
      </c>
      <c r="R5" s="34">
        <v>9.0</v>
      </c>
      <c r="S5" s="31" t="s">
        <v>147</v>
      </c>
      <c r="U5" s="34">
        <v>3.0</v>
      </c>
      <c r="V5" s="28" t="s">
        <v>148</v>
      </c>
      <c r="W5" s="34">
        <v>7.0</v>
      </c>
      <c r="X5" s="31" t="s">
        <v>149</v>
      </c>
      <c r="Z5" s="34">
        <v>3.0</v>
      </c>
      <c r="AA5" s="28" t="s">
        <v>150</v>
      </c>
      <c r="AB5" s="34">
        <v>14.282</v>
      </c>
      <c r="AC5" s="34" t="s">
        <v>151</v>
      </c>
      <c r="AD5" s="40"/>
      <c r="AE5" s="34">
        <v>3.0</v>
      </c>
      <c r="AF5" s="34" t="s">
        <v>152</v>
      </c>
      <c r="AG5" s="34">
        <v>35.0</v>
      </c>
      <c r="AH5" s="31" t="s">
        <v>153</v>
      </c>
      <c r="AI5" s="21"/>
      <c r="AJ5" s="34">
        <v>3.0</v>
      </c>
      <c r="AK5" s="37" t="s">
        <v>154</v>
      </c>
      <c r="AL5" s="37">
        <v>20.0</v>
      </c>
      <c r="AM5" s="35" t="s">
        <v>155</v>
      </c>
      <c r="AN5" s="36"/>
      <c r="AO5" s="34">
        <v>3.0</v>
      </c>
      <c r="AP5" s="34" t="s">
        <v>156</v>
      </c>
      <c r="AQ5" s="34">
        <v>10.0</v>
      </c>
      <c r="AR5" s="34" t="s">
        <v>157</v>
      </c>
      <c r="AS5" s="40"/>
      <c r="AT5" s="34">
        <v>3.0</v>
      </c>
      <c r="AU5" s="28" t="s">
        <v>158</v>
      </c>
      <c r="AV5" s="34">
        <v>25.0</v>
      </c>
      <c r="AW5" s="31" t="s">
        <v>159</v>
      </c>
      <c r="AX5" s="32"/>
      <c r="AY5" s="34">
        <v>3.0</v>
      </c>
      <c r="AZ5" s="28" t="s">
        <v>160</v>
      </c>
      <c r="BA5" s="34">
        <v>9.0</v>
      </c>
      <c r="BB5" s="31" t="s">
        <v>161</v>
      </c>
      <c r="BC5" s="40"/>
      <c r="BD5" s="34">
        <v>3.0</v>
      </c>
      <c r="BE5" s="31" t="s">
        <v>162</v>
      </c>
      <c r="BF5" s="31">
        <v>8.0</v>
      </c>
      <c r="BG5" s="31" t="s">
        <v>163</v>
      </c>
      <c r="BH5" s="32"/>
      <c r="BI5" s="34">
        <v>3.0</v>
      </c>
      <c r="BJ5" s="28" t="s">
        <v>164</v>
      </c>
      <c r="BK5" s="34">
        <v>20.0</v>
      </c>
      <c r="BL5" s="31" t="s">
        <v>110</v>
      </c>
      <c r="BM5" s="32"/>
      <c r="BN5" s="32"/>
      <c r="BO5" s="32"/>
      <c r="BP5" s="34">
        <v>3.0</v>
      </c>
      <c r="BQ5" s="33" t="s">
        <v>165</v>
      </c>
      <c r="BR5" s="41">
        <v>10.0</v>
      </c>
      <c r="BS5" s="46" t="s">
        <v>166</v>
      </c>
    </row>
    <row r="6">
      <c r="A6" s="34">
        <v>4.0</v>
      </c>
      <c r="B6" s="34">
        <v>1000.0</v>
      </c>
      <c r="C6" s="34">
        <v>25.0</v>
      </c>
      <c r="D6" s="31" t="s">
        <v>167</v>
      </c>
      <c r="E6" s="22"/>
      <c r="F6" s="34">
        <v>4.0</v>
      </c>
      <c r="G6" s="34" t="s">
        <v>168</v>
      </c>
      <c r="H6" s="34">
        <v>3.0</v>
      </c>
      <c r="I6" s="31" t="s">
        <v>169</v>
      </c>
      <c r="K6" s="34">
        <v>4.0</v>
      </c>
      <c r="L6" s="47" t="s">
        <v>170</v>
      </c>
      <c r="M6" s="48">
        <v>20.0</v>
      </c>
      <c r="N6" s="48" t="s">
        <v>171</v>
      </c>
      <c r="P6" s="34">
        <v>4.0</v>
      </c>
      <c r="Q6" s="29" t="s">
        <v>172</v>
      </c>
      <c r="R6" s="34">
        <v>9.0</v>
      </c>
      <c r="S6" s="28" t="s">
        <v>173</v>
      </c>
      <c r="U6" s="34">
        <v>4.0</v>
      </c>
      <c r="V6" s="28" t="s">
        <v>174</v>
      </c>
      <c r="W6" s="34">
        <v>7.0</v>
      </c>
      <c r="X6" s="34" t="s">
        <v>175</v>
      </c>
      <c r="Z6" s="34">
        <v>4.0</v>
      </c>
      <c r="AA6" s="28" t="s">
        <v>176</v>
      </c>
      <c r="AB6" s="34">
        <v>14.282</v>
      </c>
      <c r="AC6" s="49" t="s">
        <v>177</v>
      </c>
      <c r="AD6" s="23"/>
      <c r="AI6" s="21"/>
      <c r="AJ6" s="34">
        <v>4.0</v>
      </c>
      <c r="AK6" s="37" t="s">
        <v>178</v>
      </c>
      <c r="AL6" s="37">
        <v>14.0</v>
      </c>
      <c r="AM6" s="35" t="s">
        <v>179</v>
      </c>
      <c r="AN6" s="36"/>
      <c r="AO6" s="34">
        <v>4.0</v>
      </c>
      <c r="AP6" s="34" t="s">
        <v>180</v>
      </c>
      <c r="AQ6" s="34">
        <v>40.0</v>
      </c>
      <c r="AR6" s="31" t="s">
        <v>181</v>
      </c>
      <c r="AS6" s="32"/>
      <c r="AT6" s="34">
        <v>4.0</v>
      </c>
      <c r="AU6" s="28" t="s">
        <v>182</v>
      </c>
      <c r="AV6" s="34">
        <v>25.0</v>
      </c>
      <c r="AW6" s="31" t="s">
        <v>183</v>
      </c>
      <c r="AX6" s="32"/>
      <c r="AY6" s="34">
        <v>4.0</v>
      </c>
      <c r="AZ6" s="49" t="s">
        <v>184</v>
      </c>
      <c r="BA6" s="34">
        <v>8.0</v>
      </c>
      <c r="BB6" s="31" t="s">
        <v>185</v>
      </c>
      <c r="BC6" s="40"/>
      <c r="BD6" s="34">
        <v>4.0</v>
      </c>
      <c r="BE6" s="31" t="s">
        <v>186</v>
      </c>
      <c r="BF6" s="31">
        <v>2.0</v>
      </c>
      <c r="BG6" s="31" t="s">
        <v>187</v>
      </c>
      <c r="BH6" s="32"/>
      <c r="BI6" s="34">
        <v>4.0</v>
      </c>
      <c r="BJ6" s="28" t="s">
        <v>188</v>
      </c>
      <c r="BK6" s="34">
        <v>25.0</v>
      </c>
      <c r="BL6" s="34" t="s">
        <v>189</v>
      </c>
      <c r="BM6" s="40"/>
      <c r="BN6" s="40"/>
      <c r="BO6" s="40"/>
      <c r="BP6" s="34">
        <v>4.0</v>
      </c>
      <c r="BQ6" s="33" t="s">
        <v>190</v>
      </c>
      <c r="BR6" s="41">
        <v>10.0</v>
      </c>
      <c r="BS6" s="41" t="s">
        <v>191</v>
      </c>
    </row>
    <row r="7">
      <c r="A7" s="34">
        <v>5.0</v>
      </c>
      <c r="B7" s="34">
        <v>5000.0</v>
      </c>
      <c r="C7" s="34">
        <v>20.0</v>
      </c>
      <c r="D7" s="31" t="s">
        <v>192</v>
      </c>
      <c r="E7" s="22"/>
      <c r="K7" s="34">
        <v>5.0</v>
      </c>
      <c r="L7" s="49" t="s">
        <v>193</v>
      </c>
      <c r="M7" s="31">
        <v>20.0</v>
      </c>
      <c r="N7" s="31" t="s">
        <v>194</v>
      </c>
      <c r="P7" s="34">
        <v>5.0</v>
      </c>
      <c r="Q7" s="29" t="s">
        <v>195</v>
      </c>
      <c r="R7" s="34">
        <v>9.0</v>
      </c>
      <c r="S7" s="31" t="s">
        <v>196</v>
      </c>
      <c r="U7" s="34">
        <v>5.0</v>
      </c>
      <c r="V7" s="28" t="s">
        <v>197</v>
      </c>
      <c r="W7" s="34">
        <v>7.0</v>
      </c>
      <c r="X7" s="34" t="s">
        <v>198</v>
      </c>
      <c r="Z7" s="34">
        <v>5.0</v>
      </c>
      <c r="AA7" s="28" t="s">
        <v>199</v>
      </c>
      <c r="AB7" s="34">
        <v>14.282</v>
      </c>
      <c r="AC7" s="34" t="s">
        <v>200</v>
      </c>
      <c r="AD7" s="40"/>
      <c r="AI7" s="40"/>
      <c r="AJ7" s="34">
        <v>5.0</v>
      </c>
      <c r="AK7" s="37" t="s">
        <v>201</v>
      </c>
      <c r="AL7" s="37">
        <v>14.0</v>
      </c>
      <c r="AM7" s="35" t="s">
        <v>202</v>
      </c>
      <c r="AN7" s="36"/>
      <c r="AO7" s="36"/>
      <c r="AP7" s="36"/>
      <c r="AQ7" s="36"/>
      <c r="AR7" s="36"/>
      <c r="AS7" s="36"/>
      <c r="AT7" s="36"/>
      <c r="AU7" s="36"/>
      <c r="AV7" s="36"/>
      <c r="AW7" s="36"/>
      <c r="AX7" s="36"/>
      <c r="AY7" s="34">
        <v>5.0</v>
      </c>
      <c r="AZ7" s="28" t="s">
        <v>203</v>
      </c>
      <c r="BA7" s="34">
        <v>7.0</v>
      </c>
      <c r="BB7" s="34" t="s">
        <v>204</v>
      </c>
      <c r="BC7" s="40"/>
      <c r="BD7" s="40"/>
      <c r="BE7" s="40"/>
      <c r="BF7" s="40"/>
      <c r="BG7" s="40"/>
      <c r="BH7" s="40"/>
      <c r="BI7" s="34">
        <v>5.0</v>
      </c>
      <c r="BJ7" s="28" t="s">
        <v>205</v>
      </c>
      <c r="BK7" s="34">
        <v>25.0</v>
      </c>
      <c r="BL7" s="34" t="s">
        <v>206</v>
      </c>
      <c r="BM7" s="40"/>
      <c r="BN7" s="40"/>
      <c r="BO7" s="40"/>
      <c r="BP7" s="34">
        <v>5.0</v>
      </c>
      <c r="BQ7" s="33" t="s">
        <v>207</v>
      </c>
      <c r="BR7" s="41">
        <v>10.0</v>
      </c>
      <c r="BS7" s="41" t="s">
        <v>208</v>
      </c>
    </row>
    <row r="8">
      <c r="A8" s="34">
        <v>6.0</v>
      </c>
      <c r="B8" s="34">
        <v>10000.0</v>
      </c>
      <c r="C8" s="34">
        <v>10.0</v>
      </c>
      <c r="D8" s="31" t="s">
        <v>209</v>
      </c>
      <c r="E8" s="22"/>
      <c r="L8" s="22"/>
      <c r="P8" s="34">
        <v>6.0</v>
      </c>
      <c r="Q8" s="29" t="s">
        <v>210</v>
      </c>
      <c r="R8" s="34">
        <v>9.0</v>
      </c>
      <c r="S8" s="31" t="s">
        <v>211</v>
      </c>
      <c r="U8" s="34">
        <v>6.0</v>
      </c>
      <c r="V8" s="28" t="s">
        <v>212</v>
      </c>
      <c r="W8" s="34">
        <v>7.0</v>
      </c>
      <c r="X8" s="34" t="s">
        <v>213</v>
      </c>
      <c r="Z8" s="34">
        <v>6.0</v>
      </c>
      <c r="AA8" s="28" t="s">
        <v>214</v>
      </c>
      <c r="AB8" s="34">
        <v>14.282</v>
      </c>
      <c r="AC8" s="34" t="s">
        <v>215</v>
      </c>
      <c r="AD8" s="40"/>
      <c r="AI8" s="40"/>
      <c r="AJ8" s="34">
        <v>6.0</v>
      </c>
      <c r="AK8" s="37" t="s">
        <v>216</v>
      </c>
      <c r="AL8" s="37">
        <v>14.0</v>
      </c>
      <c r="AM8" s="35" t="s">
        <v>217</v>
      </c>
      <c r="AN8" s="36"/>
      <c r="AO8" s="36"/>
      <c r="AP8" s="36"/>
      <c r="AQ8" s="36"/>
      <c r="AR8" s="36"/>
      <c r="AS8" s="36"/>
      <c r="AT8" s="36"/>
      <c r="AU8" s="36"/>
      <c r="AV8" s="36"/>
      <c r="AW8" s="36"/>
      <c r="AX8" s="36"/>
      <c r="AY8" s="34">
        <v>6.0</v>
      </c>
      <c r="AZ8" s="28" t="s">
        <v>218</v>
      </c>
      <c r="BA8" s="34">
        <v>6.0</v>
      </c>
      <c r="BB8" s="31" t="s">
        <v>219</v>
      </c>
      <c r="BC8" s="32"/>
      <c r="BD8" s="32"/>
      <c r="BE8" s="32"/>
      <c r="BF8" s="32"/>
      <c r="BG8" s="32"/>
      <c r="BH8" s="32"/>
      <c r="BI8" s="34">
        <v>6.0</v>
      </c>
      <c r="BJ8" s="28" t="s">
        <v>220</v>
      </c>
      <c r="BK8" s="34">
        <v>20.0</v>
      </c>
      <c r="BL8" s="31" t="s">
        <v>221</v>
      </c>
      <c r="BM8" s="32"/>
      <c r="BN8" s="32"/>
      <c r="BO8" s="32"/>
      <c r="BP8" s="34">
        <v>6.0</v>
      </c>
      <c r="BQ8" s="33" t="s">
        <v>222</v>
      </c>
      <c r="BR8" s="41">
        <v>10.0</v>
      </c>
      <c r="BS8" s="46" t="s">
        <v>223</v>
      </c>
    </row>
    <row r="9">
      <c r="A9" s="34">
        <v>7.0</v>
      </c>
      <c r="B9" s="34">
        <v>100000.0</v>
      </c>
      <c r="C9" s="34">
        <v>5.0</v>
      </c>
      <c r="D9" s="34" t="s">
        <v>224</v>
      </c>
      <c r="E9" s="22"/>
      <c r="L9" s="22"/>
      <c r="M9" s="40"/>
      <c r="N9" s="21"/>
      <c r="O9" s="40"/>
      <c r="P9" s="34">
        <v>7.0</v>
      </c>
      <c r="Q9" s="29" t="s">
        <v>225</v>
      </c>
      <c r="R9" s="34">
        <v>9.0</v>
      </c>
      <c r="S9" s="31" t="s">
        <v>226</v>
      </c>
      <c r="U9" s="34">
        <v>7.0</v>
      </c>
      <c r="V9" s="28" t="s">
        <v>227</v>
      </c>
      <c r="W9" s="34">
        <v>7.0</v>
      </c>
      <c r="X9" s="34" t="s">
        <v>228</v>
      </c>
      <c r="Z9" s="34">
        <v>7.0</v>
      </c>
      <c r="AA9" s="28" t="s">
        <v>229</v>
      </c>
      <c r="AB9" s="34">
        <v>14.282</v>
      </c>
      <c r="AC9" s="31" t="s">
        <v>230</v>
      </c>
      <c r="AD9" s="32"/>
      <c r="AI9" s="32"/>
      <c r="AJ9" s="34">
        <v>7.0</v>
      </c>
      <c r="AK9" s="37" t="s">
        <v>231</v>
      </c>
      <c r="AL9" s="37">
        <v>14.0</v>
      </c>
      <c r="AM9" s="35" t="s">
        <v>232</v>
      </c>
      <c r="AN9" s="36"/>
      <c r="AO9" s="36"/>
      <c r="AP9" s="36"/>
      <c r="AQ9" s="36"/>
      <c r="AR9" s="36"/>
      <c r="AS9" s="36"/>
      <c r="AT9" s="36"/>
      <c r="AU9" s="36"/>
      <c r="AV9" s="36"/>
      <c r="AW9" s="36"/>
      <c r="AX9" s="36"/>
      <c r="AY9" s="34">
        <v>7.0</v>
      </c>
      <c r="AZ9" s="28" t="s">
        <v>233</v>
      </c>
      <c r="BA9" s="34">
        <v>5.0</v>
      </c>
      <c r="BB9" s="34" t="s">
        <v>234</v>
      </c>
      <c r="BC9" s="40"/>
      <c r="BD9" s="40"/>
      <c r="BE9" s="40"/>
      <c r="BF9" s="40"/>
      <c r="BG9" s="40"/>
      <c r="BH9" s="40"/>
      <c r="BI9" s="34">
        <v>7.0</v>
      </c>
      <c r="BJ9" s="28" t="s">
        <v>235</v>
      </c>
      <c r="BK9" s="34">
        <v>2.5</v>
      </c>
      <c r="BL9" s="34" t="s">
        <v>236</v>
      </c>
      <c r="BM9" s="40"/>
      <c r="BN9" s="40"/>
      <c r="BO9" s="40"/>
      <c r="BP9" s="34">
        <v>7.0</v>
      </c>
      <c r="BQ9" s="33" t="s">
        <v>237</v>
      </c>
      <c r="BR9" s="41">
        <v>10.0</v>
      </c>
      <c r="BS9" s="41" t="s">
        <v>238</v>
      </c>
    </row>
    <row r="10">
      <c r="E10" s="22"/>
      <c r="L10" s="22"/>
      <c r="M10" s="40"/>
      <c r="N10" s="21"/>
      <c r="O10" s="40"/>
      <c r="P10" s="34">
        <v>8.0</v>
      </c>
      <c r="Q10" s="29" t="s">
        <v>239</v>
      </c>
      <c r="R10" s="34">
        <v>10.0</v>
      </c>
      <c r="S10" s="31" t="s">
        <v>240</v>
      </c>
      <c r="U10" s="34">
        <v>8.0</v>
      </c>
      <c r="V10" s="28" t="s">
        <v>241</v>
      </c>
      <c r="W10" s="34">
        <v>7.0</v>
      </c>
      <c r="X10" s="31" t="s">
        <v>219</v>
      </c>
      <c r="AJ10" s="34">
        <v>8.0</v>
      </c>
      <c r="AK10" s="37" t="s">
        <v>242</v>
      </c>
      <c r="AL10" s="37">
        <v>7.0</v>
      </c>
      <c r="AM10" s="37" t="s">
        <v>243</v>
      </c>
      <c r="AN10" s="38"/>
      <c r="AO10" s="38"/>
      <c r="AP10" s="38"/>
      <c r="AQ10" s="38"/>
      <c r="AR10" s="38"/>
      <c r="AS10" s="38"/>
      <c r="AT10" s="38"/>
      <c r="AU10" s="38"/>
      <c r="AV10" s="38"/>
      <c r="AW10" s="38"/>
      <c r="AX10" s="38"/>
      <c r="AY10" s="34">
        <v>8.0</v>
      </c>
      <c r="AZ10" s="28" t="s">
        <v>244</v>
      </c>
      <c r="BA10" s="34">
        <v>4.0</v>
      </c>
      <c r="BB10" s="34" t="s">
        <v>245</v>
      </c>
      <c r="BC10" s="40"/>
      <c r="BD10" s="40"/>
      <c r="BE10" s="40"/>
      <c r="BF10" s="40"/>
      <c r="BG10" s="40"/>
      <c r="BH10" s="40"/>
      <c r="BI10" s="40"/>
      <c r="BJ10" s="40"/>
      <c r="BK10" s="40"/>
      <c r="BL10" s="40"/>
      <c r="BM10" s="40"/>
      <c r="BN10" s="40"/>
      <c r="BO10" s="40"/>
      <c r="BP10" s="34">
        <v>8.0</v>
      </c>
      <c r="BQ10" s="50" t="s">
        <v>246</v>
      </c>
      <c r="BR10" s="41">
        <v>10.0</v>
      </c>
      <c r="BS10" s="41" t="s">
        <v>247</v>
      </c>
    </row>
    <row r="11">
      <c r="E11" s="22"/>
      <c r="L11" s="22"/>
      <c r="M11" s="40"/>
      <c r="N11" s="21"/>
      <c r="O11" s="40"/>
      <c r="P11" s="34">
        <v>9.0</v>
      </c>
      <c r="Q11" s="29" t="s">
        <v>248</v>
      </c>
      <c r="R11" s="34">
        <v>12.0</v>
      </c>
      <c r="S11" s="31" t="s">
        <v>249</v>
      </c>
      <c r="U11" s="34">
        <v>9.0</v>
      </c>
      <c r="V11" s="28" t="s">
        <v>250</v>
      </c>
      <c r="W11" s="34">
        <v>7.0</v>
      </c>
      <c r="X11" s="31" t="s">
        <v>251</v>
      </c>
      <c r="BP11" s="34">
        <v>9.0</v>
      </c>
      <c r="BQ11" s="50" t="s">
        <v>252</v>
      </c>
      <c r="BR11" s="41">
        <v>10.0</v>
      </c>
      <c r="BS11" s="46" t="s">
        <v>253</v>
      </c>
    </row>
    <row r="12">
      <c r="E12" s="22"/>
      <c r="L12" s="22"/>
      <c r="P12" s="34">
        <v>10.0</v>
      </c>
      <c r="Q12" s="29" t="s">
        <v>254</v>
      </c>
      <c r="R12" s="34">
        <v>10.0</v>
      </c>
      <c r="S12" s="31" t="s">
        <v>255</v>
      </c>
      <c r="U12" s="34">
        <v>10.0</v>
      </c>
      <c r="V12" s="28" t="s">
        <v>256</v>
      </c>
      <c r="W12" s="34">
        <v>7.0</v>
      </c>
      <c r="X12" s="31" t="s">
        <v>257</v>
      </c>
      <c r="BP12" s="34">
        <v>10.0</v>
      </c>
      <c r="BQ12" s="50" t="s">
        <v>258</v>
      </c>
      <c r="BR12" s="41">
        <v>10.0</v>
      </c>
      <c r="BS12" s="41" t="s">
        <v>259</v>
      </c>
    </row>
    <row r="13">
      <c r="E13" s="22"/>
      <c r="L13" s="22"/>
      <c r="P13" s="34">
        <v>11.0</v>
      </c>
      <c r="Q13" s="29" t="s">
        <v>260</v>
      </c>
      <c r="R13" s="34">
        <v>5.0</v>
      </c>
      <c r="S13" s="31" t="s">
        <v>261</v>
      </c>
      <c r="U13" s="34">
        <v>11.0</v>
      </c>
      <c r="V13" s="28" t="s">
        <v>262</v>
      </c>
      <c r="W13" s="34">
        <v>7.0</v>
      </c>
      <c r="X13" s="31" t="s">
        <v>263</v>
      </c>
    </row>
    <row r="14">
      <c r="E14" s="22"/>
      <c r="L14" s="22"/>
      <c r="Q14" s="22"/>
      <c r="V14" s="22"/>
      <c r="AA14" s="21"/>
      <c r="AB14" s="21"/>
      <c r="AC14" s="21"/>
      <c r="AD14" s="21"/>
      <c r="AE14" s="21"/>
      <c r="AF14" s="21"/>
      <c r="AG14" s="21"/>
      <c r="AH14" s="21"/>
      <c r="AI14" s="21"/>
    </row>
    <row r="15">
      <c r="E15" s="22"/>
      <c r="L15" s="22"/>
      <c r="Q15" s="22"/>
      <c r="V15" s="22"/>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row>
    <row r="16">
      <c r="E16" s="22"/>
      <c r="L16" s="22"/>
      <c r="Q16" s="22"/>
      <c r="V16" s="22"/>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row>
    <row r="17">
      <c r="E17" s="22"/>
      <c r="F17" s="22"/>
      <c r="G17" s="22"/>
      <c r="H17" s="22"/>
      <c r="I17" s="22"/>
      <c r="L17" s="22"/>
      <c r="Q17" s="22"/>
      <c r="V17" s="2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row>
    <row r="18">
      <c r="E18" s="22"/>
      <c r="F18" s="22"/>
      <c r="G18" s="22"/>
      <c r="H18" s="22"/>
      <c r="I18" s="22"/>
      <c r="L18" s="22"/>
      <c r="Q18" s="22"/>
      <c r="V18" s="22"/>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row>
    <row r="19">
      <c r="E19" s="22"/>
      <c r="F19" s="22"/>
      <c r="G19" s="22"/>
      <c r="H19" s="22"/>
      <c r="I19" s="22"/>
      <c r="L19" s="22"/>
      <c r="Q19" s="22"/>
      <c r="V19" s="22"/>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row>
    <row r="20" ht="62.25" customHeight="1">
      <c r="E20" s="22"/>
      <c r="F20" s="22"/>
      <c r="G20" s="22"/>
      <c r="H20" s="22"/>
      <c r="I20" s="22"/>
      <c r="L20" s="22"/>
      <c r="Q20" s="22"/>
      <c r="V20" s="22"/>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row>
    <row r="21">
      <c r="L21" s="22"/>
      <c r="M21" s="22"/>
      <c r="N21" s="22"/>
      <c r="O21" s="22"/>
      <c r="P21" s="22"/>
      <c r="Q21" s="22"/>
      <c r="V21" s="22"/>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row>
    <row r="22">
      <c r="A22" s="22"/>
      <c r="B22" s="22"/>
      <c r="C22" s="22"/>
      <c r="D22" s="22"/>
      <c r="E22" s="22"/>
      <c r="L22" s="22"/>
      <c r="M22" s="22"/>
      <c r="N22" s="22"/>
      <c r="O22" s="22"/>
      <c r="P22" s="22"/>
      <c r="Q22" s="22"/>
      <c r="V22" s="2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row>
    <row r="23">
      <c r="A23" s="22"/>
      <c r="H23" s="51"/>
      <c r="L23" s="22"/>
      <c r="M23" s="22"/>
      <c r="N23" s="22"/>
      <c r="O23" s="22"/>
      <c r="P23" s="22"/>
      <c r="Q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row>
    <row r="24">
      <c r="A24" s="22"/>
      <c r="H24" s="22"/>
      <c r="J24" s="21"/>
      <c r="K24" s="40"/>
      <c r="L24" s="38"/>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row>
    <row r="25">
      <c r="A25" s="22"/>
      <c r="H25" s="22"/>
      <c r="J25" s="21"/>
      <c r="K25" s="40"/>
      <c r="L25" s="38"/>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row>
    <row r="26">
      <c r="A26" s="22"/>
      <c r="L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row>
    <row r="27">
      <c r="A27" s="22"/>
      <c r="L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row>
    <row r="28">
      <c r="A28" s="22"/>
      <c r="L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row>
    <row r="29">
      <c r="L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row>
    <row r="30">
      <c r="L30" s="22"/>
      <c r="M30" s="40"/>
      <c r="N30" s="32"/>
      <c r="O30" s="32"/>
      <c r="P30" s="40"/>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row>
    <row r="31">
      <c r="L31" s="22"/>
      <c r="M31" s="40"/>
      <c r="N31" s="40"/>
      <c r="O31" s="32"/>
      <c r="P31" s="40"/>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row>
    <row r="32">
      <c r="L32" s="22"/>
      <c r="M32" s="40"/>
      <c r="N32" s="40"/>
      <c r="O32" s="32"/>
      <c r="P32" s="40"/>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row>
    <row r="33">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row>
    <row r="34">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row>
    <row r="35">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row>
    <row r="36">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row>
    <row r="37">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row>
    <row r="38">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row>
    <row r="39">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row>
    <row r="40">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row>
    <row r="41">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row>
    <row r="4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row>
    <row r="43">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row>
    <row r="44">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row>
    <row r="45">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row>
    <row r="46">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row>
    <row r="47">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row>
    <row r="48">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row>
    <row r="49">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row>
    <row r="50">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row>
    <row r="51">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row>
    <row r="5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row>
    <row r="53">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row>
    <row r="54">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row>
    <row r="55">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row>
    <row r="56">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row>
    <row r="57">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row>
    <row r="58">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row>
    <row r="59">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row>
    <row r="60">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row>
    <row r="61">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row>
    <row r="6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row>
    <row r="63">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row>
    <row r="64">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row>
    <row r="65">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row>
    <row r="66">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row>
    <row r="67">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row>
    <row r="68">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row>
    <row r="69">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row>
    <row r="70">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row>
    <row r="71">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row>
    <row r="7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row>
    <row r="73">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row>
    <row r="74">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row>
    <row r="75">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row>
    <row r="76">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row>
    <row r="77">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row>
    <row r="78">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row>
    <row r="79">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row>
    <row r="80">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row>
    <row r="81">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row>
    <row r="8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row>
    <row r="83">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row>
    <row r="84">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row>
    <row r="85">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row>
    <row r="86">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row>
    <row r="87">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row>
    <row r="88">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row>
    <row r="89">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row>
    <row r="90">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row>
    <row r="91">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row>
    <row r="9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row>
    <row r="93">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row>
    <row r="94">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row>
    <row r="95">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row>
    <row r="96">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row>
    <row r="97">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row>
    <row r="98">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row>
    <row r="99">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row>
    <row r="100">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row>
    <row r="101">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row>
    <row r="10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row>
    <row r="103">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row>
    <row r="104">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row>
    <row r="105">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row>
    <row r="106">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row>
    <row r="107">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row>
    <row r="108">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row>
    <row r="109">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row>
    <row r="110">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row>
    <row r="111">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row>
    <row r="11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row>
    <row r="113">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row>
    <row r="114">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row>
    <row r="115">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row>
    <row r="116">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row>
    <row r="117">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row>
    <row r="118">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row>
    <row r="119">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row>
    <row r="120">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row>
    <row r="121">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row>
    <row r="1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row>
    <row r="123">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row>
    <row r="124">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row>
    <row r="125">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row>
    <row r="126">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row>
    <row r="127">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row>
    <row r="128">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row>
    <row r="129">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row>
    <row r="130">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row>
    <row r="131">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row>
    <row r="13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row>
    <row r="133">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row>
    <row r="134">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row>
    <row r="135">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row>
    <row r="136">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row>
    <row r="137">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row>
    <row r="138">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row>
    <row r="139">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row>
    <row r="140">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row>
    <row r="141">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row>
    <row r="14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row>
    <row r="143">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row>
    <row r="144">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row>
    <row r="145">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row>
    <row r="146">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row>
    <row r="147">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row>
    <row r="148">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row>
    <row r="149">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row>
    <row r="150">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row>
    <row r="151">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row>
    <row r="15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row>
    <row r="153">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row>
    <row r="154">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row>
    <row r="155">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row>
    <row r="156">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row>
    <row r="157">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row>
    <row r="158">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row>
    <row r="159">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row>
    <row r="160">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row>
    <row r="161">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row>
    <row r="16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row>
    <row r="163">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row>
    <row r="164">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row>
    <row r="165">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row>
    <row r="166">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row>
    <row r="167">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row>
    <row r="168">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row>
    <row r="169">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row>
    <row r="170">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row>
    <row r="171">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row>
    <row r="17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row>
    <row r="173">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row>
    <row r="174">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row>
    <row r="175">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row>
    <row r="176">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row>
    <row r="177">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row>
    <row r="178">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row>
    <row r="179">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row>
    <row r="180">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row>
    <row r="181">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row>
    <row r="18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row>
    <row r="183">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row>
    <row r="184">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row>
    <row r="185">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row>
    <row r="186">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row>
    <row r="187">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row>
    <row r="188">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row>
    <row r="189">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row>
    <row r="190">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row>
    <row r="191">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row>
    <row r="19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row>
    <row r="193">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row>
    <row r="194">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row>
    <row r="195">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row>
    <row r="196">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row>
    <row r="197">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row>
    <row r="198">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row>
    <row r="199">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row>
    <row r="200">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row>
    <row r="201">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row>
    <row r="20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row>
    <row r="203">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row>
    <row r="204">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row>
    <row r="205">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row>
    <row r="206">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row>
    <row r="207">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row>
    <row r="208">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row>
    <row r="209">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row>
    <row r="210">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row>
    <row r="211">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row>
    <row r="21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row>
    <row r="213">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row>
    <row r="214">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row>
    <row r="215">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row>
    <row r="216">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row>
    <row r="217">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row>
    <row r="218">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row>
    <row r="219">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row>
    <row r="220">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row>
    <row r="221">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row>
    <row r="2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row>
    <row r="223">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row>
    <row r="224">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row>
    <row r="225">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row>
    <row r="226">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row>
    <row r="227">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row>
    <row r="228">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row>
    <row r="229">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row>
    <row r="230">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row>
    <row r="231">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row>
    <row r="23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row>
    <row r="233">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row>
    <row r="234">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row>
    <row r="235">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row>
    <row r="236">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row>
    <row r="237">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row>
    <row r="238">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row>
    <row r="239">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row>
    <row r="240">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row>
    <row r="241">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row>
    <row r="24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row>
    <row r="243">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row>
    <row r="244">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row>
    <row r="245">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row>
    <row r="246">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row>
    <row r="247">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row>
    <row r="248">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row>
    <row r="249">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row>
    <row r="250">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row>
    <row r="251">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row>
    <row r="25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row>
    <row r="253">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row>
    <row r="254">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row>
    <row r="255">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row>
    <row r="256">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row>
    <row r="257">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row>
    <row r="258">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row>
    <row r="259">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row>
    <row r="260">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row>
    <row r="261">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row>
    <row r="26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row>
    <row r="263">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row>
    <row r="264">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row>
    <row r="265">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row>
    <row r="266">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row>
    <row r="267">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row>
    <row r="268">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row>
    <row r="269">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row>
    <row r="270">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row>
    <row r="271">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row>
    <row r="27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row>
    <row r="273">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row>
    <row r="274">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row>
    <row r="275">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row>
    <row r="276">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row>
    <row r="277">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row>
    <row r="278">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row>
    <row r="279">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row>
    <row r="280">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row>
    <row r="281">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row>
    <row r="28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row>
    <row r="283">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row>
    <row r="284">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row>
    <row r="285">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row>
    <row r="286">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row>
    <row r="287">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row>
    <row r="288">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row>
    <row r="289">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row>
    <row r="290">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row>
    <row r="291">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row>
    <row r="29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row>
    <row r="293">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row>
    <row r="294">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row>
    <row r="295">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row>
    <row r="296">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row>
    <row r="297">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row>
    <row r="298">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row>
    <row r="299">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row>
    <row r="300">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row>
    <row r="301">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row>
    <row r="30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row>
    <row r="303">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row>
    <row r="304">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row>
    <row r="305">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row>
    <row r="306">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row>
    <row r="307">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row>
    <row r="308">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row>
    <row r="309">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row>
    <row r="310">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row>
    <row r="311">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row>
    <row r="31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row>
    <row r="313">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row>
    <row r="314">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row>
    <row r="315">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row>
    <row r="316">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row>
    <row r="317">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row>
    <row r="318">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row>
    <row r="319">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row>
    <row r="320">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row>
    <row r="321">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row>
    <row r="3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row>
    <row r="323">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c r="BM323" s="22"/>
      <c r="BN323" s="22"/>
      <c r="BO323" s="22"/>
      <c r="BP323" s="22"/>
      <c r="BQ323" s="22"/>
      <c r="BR323" s="22"/>
      <c r="BS323" s="22"/>
    </row>
    <row r="324">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22"/>
      <c r="BP324" s="22"/>
      <c r="BQ324" s="22"/>
      <c r="BR324" s="22"/>
      <c r="BS324" s="22"/>
    </row>
    <row r="325">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row>
    <row r="326">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row>
    <row r="327">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row>
    <row r="328">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c r="BI328" s="22"/>
      <c r="BJ328" s="22"/>
      <c r="BK328" s="22"/>
      <c r="BL328" s="22"/>
      <c r="BM328" s="22"/>
      <c r="BN328" s="22"/>
      <c r="BO328" s="22"/>
      <c r="BP328" s="22"/>
      <c r="BQ328" s="22"/>
      <c r="BR328" s="22"/>
      <c r="BS328" s="22"/>
    </row>
    <row r="329">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c r="BI329" s="22"/>
      <c r="BJ329" s="22"/>
      <c r="BK329" s="22"/>
      <c r="BL329" s="22"/>
      <c r="BM329" s="22"/>
      <c r="BN329" s="22"/>
      <c r="BO329" s="22"/>
      <c r="BP329" s="22"/>
      <c r="BQ329" s="22"/>
      <c r="BR329" s="22"/>
      <c r="BS329" s="22"/>
    </row>
    <row r="330">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c r="BI330" s="22"/>
      <c r="BJ330" s="22"/>
      <c r="BK330" s="22"/>
      <c r="BL330" s="22"/>
      <c r="BM330" s="22"/>
      <c r="BN330" s="22"/>
      <c r="BO330" s="22"/>
      <c r="BP330" s="22"/>
      <c r="BQ330" s="22"/>
      <c r="BR330" s="22"/>
      <c r="BS330" s="22"/>
    </row>
    <row r="331">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row>
    <row r="33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c r="BM332" s="22"/>
      <c r="BN332" s="22"/>
      <c r="BO332" s="22"/>
      <c r="BP332" s="22"/>
      <c r="BQ332" s="22"/>
      <c r="BR332" s="22"/>
      <c r="BS332" s="22"/>
    </row>
    <row r="333">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c r="BI333" s="22"/>
      <c r="BJ333" s="22"/>
      <c r="BK333" s="22"/>
      <c r="BL333" s="22"/>
      <c r="BM333" s="22"/>
      <c r="BN333" s="22"/>
      <c r="BO333" s="22"/>
      <c r="BP333" s="22"/>
      <c r="BQ333" s="22"/>
      <c r="BR333" s="22"/>
      <c r="BS333" s="22"/>
    </row>
    <row r="334">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c r="BI334" s="22"/>
      <c r="BJ334" s="22"/>
      <c r="BK334" s="22"/>
      <c r="BL334" s="22"/>
      <c r="BM334" s="22"/>
      <c r="BN334" s="22"/>
      <c r="BO334" s="22"/>
      <c r="BP334" s="22"/>
      <c r="BQ334" s="22"/>
      <c r="BR334" s="22"/>
      <c r="BS334" s="22"/>
    </row>
    <row r="335">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c r="BI335" s="22"/>
      <c r="BJ335" s="22"/>
      <c r="BK335" s="22"/>
      <c r="BL335" s="22"/>
      <c r="BM335" s="22"/>
      <c r="BN335" s="22"/>
      <c r="BO335" s="22"/>
      <c r="BP335" s="22"/>
      <c r="BQ335" s="22"/>
      <c r="BR335" s="22"/>
      <c r="BS335" s="22"/>
    </row>
    <row r="336">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c r="BM336" s="22"/>
      <c r="BN336" s="22"/>
      <c r="BO336" s="22"/>
      <c r="BP336" s="22"/>
      <c r="BQ336" s="22"/>
      <c r="BR336" s="22"/>
      <c r="BS336" s="22"/>
    </row>
    <row r="337">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c r="BI337" s="22"/>
      <c r="BJ337" s="22"/>
      <c r="BK337" s="22"/>
      <c r="BL337" s="22"/>
      <c r="BM337" s="22"/>
      <c r="BN337" s="22"/>
      <c r="BO337" s="22"/>
      <c r="BP337" s="22"/>
      <c r="BQ337" s="22"/>
      <c r="BR337" s="22"/>
      <c r="BS337" s="22"/>
    </row>
    <row r="338">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c r="BI338" s="22"/>
      <c r="BJ338" s="22"/>
      <c r="BK338" s="22"/>
      <c r="BL338" s="22"/>
      <c r="BM338" s="22"/>
      <c r="BN338" s="22"/>
      <c r="BO338" s="22"/>
      <c r="BP338" s="22"/>
      <c r="BQ338" s="22"/>
      <c r="BR338" s="22"/>
      <c r="BS338" s="22"/>
    </row>
    <row r="339">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c r="BI339" s="22"/>
      <c r="BJ339" s="22"/>
      <c r="BK339" s="22"/>
      <c r="BL339" s="22"/>
      <c r="BM339" s="22"/>
      <c r="BN339" s="22"/>
      <c r="BO339" s="22"/>
      <c r="BP339" s="22"/>
      <c r="BQ339" s="22"/>
      <c r="BR339" s="22"/>
      <c r="BS339" s="22"/>
    </row>
    <row r="340">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c r="BM340" s="22"/>
      <c r="BN340" s="22"/>
      <c r="BO340" s="22"/>
      <c r="BP340" s="22"/>
      <c r="BQ340" s="22"/>
      <c r="BR340" s="22"/>
      <c r="BS340" s="22"/>
    </row>
    <row r="341">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c r="BI341" s="22"/>
      <c r="BJ341" s="22"/>
      <c r="BK341" s="22"/>
      <c r="BL341" s="22"/>
      <c r="BM341" s="22"/>
      <c r="BN341" s="22"/>
      <c r="BO341" s="22"/>
      <c r="BP341" s="22"/>
      <c r="BQ341" s="22"/>
      <c r="BR341" s="22"/>
      <c r="BS341" s="22"/>
    </row>
    <row r="34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c r="BI342" s="22"/>
      <c r="BJ342" s="22"/>
      <c r="BK342" s="22"/>
      <c r="BL342" s="22"/>
      <c r="BM342" s="22"/>
      <c r="BN342" s="22"/>
      <c r="BO342" s="22"/>
      <c r="BP342" s="22"/>
      <c r="BQ342" s="22"/>
      <c r="BR342" s="22"/>
      <c r="BS342" s="22"/>
    </row>
    <row r="343">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c r="BI343" s="22"/>
      <c r="BJ343" s="22"/>
      <c r="BK343" s="22"/>
      <c r="BL343" s="22"/>
      <c r="BM343" s="22"/>
      <c r="BN343" s="22"/>
      <c r="BO343" s="22"/>
      <c r="BP343" s="22"/>
      <c r="BQ343" s="22"/>
      <c r="BR343" s="22"/>
      <c r="BS343" s="22"/>
    </row>
    <row r="344">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c r="BM344" s="22"/>
      <c r="BN344" s="22"/>
      <c r="BO344" s="22"/>
      <c r="BP344" s="22"/>
      <c r="BQ344" s="22"/>
      <c r="BR344" s="22"/>
      <c r="BS344" s="22"/>
    </row>
    <row r="345">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c r="BI345" s="22"/>
      <c r="BJ345" s="22"/>
      <c r="BK345" s="22"/>
      <c r="BL345" s="22"/>
      <c r="BM345" s="22"/>
      <c r="BN345" s="22"/>
      <c r="BO345" s="22"/>
      <c r="BP345" s="22"/>
      <c r="BQ345" s="22"/>
      <c r="BR345" s="22"/>
      <c r="BS345" s="22"/>
    </row>
    <row r="346">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c r="BI346" s="22"/>
      <c r="BJ346" s="22"/>
      <c r="BK346" s="22"/>
      <c r="BL346" s="22"/>
      <c r="BM346" s="22"/>
      <c r="BN346" s="22"/>
      <c r="BO346" s="22"/>
      <c r="BP346" s="22"/>
      <c r="BQ346" s="22"/>
      <c r="BR346" s="22"/>
      <c r="BS346" s="22"/>
    </row>
    <row r="347">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c r="BM347" s="22"/>
      <c r="BN347" s="22"/>
      <c r="BO347" s="22"/>
      <c r="BP347" s="22"/>
      <c r="BQ347" s="22"/>
      <c r="BR347" s="22"/>
      <c r="BS347" s="22"/>
    </row>
    <row r="348">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row>
    <row r="349">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row>
    <row r="350">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row>
    <row r="351">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row>
    <row r="35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row>
    <row r="353">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row>
    <row r="354">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row>
    <row r="355">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row>
    <row r="356">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c r="BM356" s="22"/>
      <c r="BN356" s="22"/>
      <c r="BO356" s="22"/>
      <c r="BP356" s="22"/>
      <c r="BQ356" s="22"/>
      <c r="BR356" s="22"/>
      <c r="BS356" s="22"/>
    </row>
    <row r="357">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row>
    <row r="358">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row>
    <row r="359">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row>
    <row r="360">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row>
    <row r="361">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row>
    <row r="36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row>
    <row r="363">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row>
    <row r="364">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row>
    <row r="365">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row>
    <row r="366">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row>
    <row r="367">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row>
    <row r="368">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row>
    <row r="369">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row>
    <row r="370">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row>
    <row r="371">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row>
    <row r="37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row>
    <row r="373">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c r="BI373" s="22"/>
      <c r="BJ373" s="22"/>
      <c r="BK373" s="22"/>
      <c r="BL373" s="22"/>
      <c r="BM373" s="22"/>
      <c r="BN373" s="22"/>
      <c r="BO373" s="22"/>
      <c r="BP373" s="22"/>
      <c r="BQ373" s="22"/>
      <c r="BR373" s="22"/>
      <c r="BS373" s="22"/>
    </row>
    <row r="374">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c r="BI374" s="22"/>
      <c r="BJ374" s="22"/>
      <c r="BK374" s="22"/>
      <c r="BL374" s="22"/>
      <c r="BM374" s="22"/>
      <c r="BN374" s="22"/>
      <c r="BO374" s="22"/>
      <c r="BP374" s="22"/>
      <c r="BQ374" s="22"/>
      <c r="BR374" s="22"/>
      <c r="BS374" s="22"/>
    </row>
    <row r="375">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c r="BI375" s="22"/>
      <c r="BJ375" s="22"/>
      <c r="BK375" s="22"/>
      <c r="BL375" s="22"/>
      <c r="BM375" s="22"/>
      <c r="BN375" s="22"/>
      <c r="BO375" s="22"/>
      <c r="BP375" s="22"/>
      <c r="BQ375" s="22"/>
      <c r="BR375" s="22"/>
      <c r="BS375" s="22"/>
    </row>
    <row r="376">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c r="BM376" s="22"/>
      <c r="BN376" s="22"/>
      <c r="BO376" s="22"/>
      <c r="BP376" s="22"/>
      <c r="BQ376" s="22"/>
      <c r="BR376" s="22"/>
      <c r="BS376" s="22"/>
    </row>
    <row r="377">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c r="BI377" s="22"/>
      <c r="BJ377" s="22"/>
      <c r="BK377" s="22"/>
      <c r="BL377" s="22"/>
      <c r="BM377" s="22"/>
      <c r="BN377" s="22"/>
      <c r="BO377" s="22"/>
      <c r="BP377" s="22"/>
      <c r="BQ377" s="22"/>
      <c r="BR377" s="22"/>
      <c r="BS377" s="22"/>
    </row>
    <row r="378">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c r="BM378" s="22"/>
      <c r="BN378" s="22"/>
      <c r="BO378" s="22"/>
      <c r="BP378" s="22"/>
      <c r="BQ378" s="22"/>
      <c r="BR378" s="22"/>
      <c r="BS378" s="22"/>
    </row>
    <row r="379">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c r="BI379" s="22"/>
      <c r="BJ379" s="22"/>
      <c r="BK379" s="22"/>
      <c r="BL379" s="22"/>
      <c r="BM379" s="22"/>
      <c r="BN379" s="22"/>
      <c r="BO379" s="22"/>
      <c r="BP379" s="22"/>
      <c r="BQ379" s="22"/>
      <c r="BR379" s="22"/>
      <c r="BS379" s="22"/>
    </row>
    <row r="380">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c r="BM380" s="22"/>
      <c r="BN380" s="22"/>
      <c r="BO380" s="22"/>
      <c r="BP380" s="22"/>
      <c r="BQ380" s="22"/>
      <c r="BR380" s="22"/>
      <c r="BS380" s="22"/>
    </row>
    <row r="381">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c r="BI381" s="22"/>
      <c r="BJ381" s="22"/>
      <c r="BK381" s="22"/>
      <c r="BL381" s="22"/>
      <c r="BM381" s="22"/>
      <c r="BN381" s="22"/>
      <c r="BO381" s="22"/>
      <c r="BP381" s="22"/>
      <c r="BQ381" s="22"/>
      <c r="BR381" s="22"/>
      <c r="BS381" s="22"/>
    </row>
    <row r="38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c r="BI382" s="22"/>
      <c r="BJ382" s="22"/>
      <c r="BK382" s="22"/>
      <c r="BL382" s="22"/>
      <c r="BM382" s="22"/>
      <c r="BN382" s="22"/>
      <c r="BO382" s="22"/>
      <c r="BP382" s="22"/>
      <c r="BQ382" s="22"/>
      <c r="BR382" s="22"/>
      <c r="BS382" s="22"/>
    </row>
    <row r="383">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c r="BI383" s="22"/>
      <c r="BJ383" s="22"/>
      <c r="BK383" s="22"/>
      <c r="BL383" s="22"/>
      <c r="BM383" s="22"/>
      <c r="BN383" s="22"/>
      <c r="BO383" s="22"/>
      <c r="BP383" s="22"/>
      <c r="BQ383" s="22"/>
      <c r="BR383" s="22"/>
      <c r="BS383" s="22"/>
    </row>
    <row r="384">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c r="BM384" s="22"/>
      <c r="BN384" s="22"/>
      <c r="BO384" s="22"/>
      <c r="BP384" s="22"/>
      <c r="BQ384" s="22"/>
      <c r="BR384" s="22"/>
      <c r="BS384" s="22"/>
    </row>
    <row r="385">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c r="BI385" s="22"/>
      <c r="BJ385" s="22"/>
      <c r="BK385" s="22"/>
      <c r="BL385" s="22"/>
      <c r="BM385" s="22"/>
      <c r="BN385" s="22"/>
      <c r="BO385" s="22"/>
      <c r="BP385" s="22"/>
      <c r="BQ385" s="22"/>
      <c r="BR385" s="22"/>
      <c r="BS385" s="22"/>
    </row>
    <row r="386">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c r="BM386" s="22"/>
      <c r="BN386" s="22"/>
      <c r="BO386" s="22"/>
      <c r="BP386" s="22"/>
      <c r="BQ386" s="22"/>
      <c r="BR386" s="22"/>
      <c r="BS386" s="22"/>
    </row>
    <row r="387">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row>
    <row r="388">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row>
    <row r="389">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row>
    <row r="390">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row>
    <row r="391">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row>
    <row r="39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row>
    <row r="393">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row>
    <row r="394">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row>
    <row r="395">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row>
    <row r="396">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row>
    <row r="397">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row>
    <row r="398">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row>
    <row r="399">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row>
    <row r="400">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row>
    <row r="401">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row>
    <row r="40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row>
    <row r="403">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row>
    <row r="404">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row>
    <row r="405">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row>
    <row r="406">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row>
    <row r="407">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row>
    <row r="408">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row>
    <row r="409">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row>
    <row r="410">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row>
    <row r="411">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row>
    <row r="41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row>
    <row r="413">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row>
    <row r="414">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row>
    <row r="415">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row>
    <row r="416">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row>
    <row r="417">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row>
    <row r="418">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c r="BM418" s="22"/>
      <c r="BN418" s="22"/>
      <c r="BO418" s="22"/>
      <c r="BP418" s="22"/>
      <c r="BQ418" s="22"/>
      <c r="BR418" s="22"/>
      <c r="BS418" s="22"/>
    </row>
    <row r="419">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row>
    <row r="420">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row>
    <row r="421">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row>
    <row r="4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row>
    <row r="423">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c r="BM423" s="22"/>
      <c r="BN423" s="22"/>
      <c r="BO423" s="22"/>
      <c r="BP423" s="22"/>
      <c r="BQ423" s="22"/>
      <c r="BR423" s="22"/>
      <c r="BS423" s="22"/>
    </row>
    <row r="424">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22"/>
      <c r="BP424" s="22"/>
      <c r="BQ424" s="22"/>
      <c r="BR424" s="22"/>
      <c r="BS424" s="22"/>
    </row>
    <row r="425">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c r="BI425" s="22"/>
      <c r="BJ425" s="22"/>
      <c r="BK425" s="22"/>
      <c r="BL425" s="22"/>
      <c r="BM425" s="22"/>
      <c r="BN425" s="22"/>
      <c r="BO425" s="22"/>
      <c r="BP425" s="22"/>
      <c r="BQ425" s="22"/>
      <c r="BR425" s="22"/>
      <c r="BS425" s="22"/>
    </row>
    <row r="426">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c r="BI426" s="22"/>
      <c r="BJ426" s="22"/>
      <c r="BK426" s="22"/>
      <c r="BL426" s="22"/>
      <c r="BM426" s="22"/>
      <c r="BN426" s="22"/>
      <c r="BO426" s="22"/>
      <c r="BP426" s="22"/>
      <c r="BQ426" s="22"/>
      <c r="BR426" s="22"/>
      <c r="BS426" s="22"/>
    </row>
    <row r="427">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c r="BI427" s="22"/>
      <c r="BJ427" s="22"/>
      <c r="BK427" s="22"/>
      <c r="BL427" s="22"/>
      <c r="BM427" s="22"/>
      <c r="BN427" s="22"/>
      <c r="BO427" s="22"/>
      <c r="BP427" s="22"/>
      <c r="BQ427" s="22"/>
      <c r="BR427" s="22"/>
      <c r="BS427" s="22"/>
    </row>
    <row r="428">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c r="BI428" s="22"/>
      <c r="BJ428" s="22"/>
      <c r="BK428" s="22"/>
      <c r="BL428" s="22"/>
      <c r="BM428" s="22"/>
      <c r="BN428" s="22"/>
      <c r="BO428" s="22"/>
      <c r="BP428" s="22"/>
      <c r="BQ428" s="22"/>
      <c r="BR428" s="22"/>
      <c r="BS428" s="22"/>
    </row>
    <row r="429">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c r="BI429" s="22"/>
      <c r="BJ429" s="22"/>
      <c r="BK429" s="22"/>
      <c r="BL429" s="22"/>
      <c r="BM429" s="22"/>
      <c r="BN429" s="22"/>
      <c r="BO429" s="22"/>
      <c r="BP429" s="22"/>
      <c r="BQ429" s="22"/>
      <c r="BR429" s="22"/>
      <c r="BS429" s="22"/>
    </row>
    <row r="430">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c r="BI430" s="22"/>
      <c r="BJ430" s="22"/>
      <c r="BK430" s="22"/>
      <c r="BL430" s="22"/>
      <c r="BM430" s="22"/>
      <c r="BN430" s="22"/>
      <c r="BO430" s="22"/>
      <c r="BP430" s="22"/>
      <c r="BQ430" s="22"/>
      <c r="BR430" s="22"/>
      <c r="BS430" s="22"/>
    </row>
    <row r="431">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c r="BI431" s="22"/>
      <c r="BJ431" s="22"/>
      <c r="BK431" s="22"/>
      <c r="BL431" s="22"/>
      <c r="BM431" s="22"/>
      <c r="BN431" s="22"/>
      <c r="BO431" s="22"/>
      <c r="BP431" s="22"/>
      <c r="BQ431" s="22"/>
      <c r="BR431" s="22"/>
      <c r="BS431" s="22"/>
    </row>
    <row r="43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c r="BI432" s="22"/>
      <c r="BJ432" s="22"/>
      <c r="BK432" s="22"/>
      <c r="BL432" s="22"/>
      <c r="BM432" s="22"/>
      <c r="BN432" s="22"/>
      <c r="BO432" s="22"/>
      <c r="BP432" s="22"/>
      <c r="BQ432" s="22"/>
      <c r="BR432" s="22"/>
      <c r="BS432" s="22"/>
    </row>
    <row r="433">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c r="BI433" s="22"/>
      <c r="BJ433" s="22"/>
      <c r="BK433" s="22"/>
      <c r="BL433" s="22"/>
      <c r="BM433" s="22"/>
      <c r="BN433" s="22"/>
      <c r="BO433" s="22"/>
      <c r="BP433" s="22"/>
      <c r="BQ433" s="22"/>
      <c r="BR433" s="22"/>
      <c r="BS433" s="22"/>
    </row>
    <row r="434">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c r="BI434" s="22"/>
      <c r="BJ434" s="22"/>
      <c r="BK434" s="22"/>
      <c r="BL434" s="22"/>
      <c r="BM434" s="22"/>
      <c r="BN434" s="22"/>
      <c r="BO434" s="22"/>
      <c r="BP434" s="22"/>
      <c r="BQ434" s="22"/>
      <c r="BR434" s="22"/>
      <c r="BS434" s="22"/>
    </row>
    <row r="435">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c r="BM435" s="22"/>
      <c r="BN435" s="22"/>
      <c r="BO435" s="22"/>
      <c r="BP435" s="22"/>
      <c r="BQ435" s="22"/>
      <c r="BR435" s="22"/>
      <c r="BS435" s="22"/>
    </row>
    <row r="436">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c r="BM436" s="22"/>
      <c r="BN436" s="22"/>
      <c r="BO436" s="22"/>
      <c r="BP436" s="22"/>
      <c r="BQ436" s="22"/>
      <c r="BR436" s="22"/>
      <c r="BS436" s="22"/>
    </row>
    <row r="437">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c r="BI437" s="22"/>
      <c r="BJ437" s="22"/>
      <c r="BK437" s="22"/>
      <c r="BL437" s="22"/>
      <c r="BM437" s="22"/>
      <c r="BN437" s="22"/>
      <c r="BO437" s="22"/>
      <c r="BP437" s="22"/>
      <c r="BQ437" s="22"/>
      <c r="BR437" s="22"/>
      <c r="BS437" s="22"/>
    </row>
    <row r="438">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c r="BI438" s="22"/>
      <c r="BJ438" s="22"/>
      <c r="BK438" s="22"/>
      <c r="BL438" s="22"/>
      <c r="BM438" s="22"/>
      <c r="BN438" s="22"/>
      <c r="BO438" s="22"/>
      <c r="BP438" s="22"/>
      <c r="BQ438" s="22"/>
      <c r="BR438" s="22"/>
      <c r="BS438" s="22"/>
    </row>
    <row r="439">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c r="BI439" s="22"/>
      <c r="BJ439" s="22"/>
      <c r="BK439" s="22"/>
      <c r="BL439" s="22"/>
      <c r="BM439" s="22"/>
      <c r="BN439" s="22"/>
      <c r="BO439" s="22"/>
      <c r="BP439" s="22"/>
      <c r="BQ439" s="22"/>
      <c r="BR439" s="22"/>
      <c r="BS439" s="22"/>
    </row>
    <row r="440">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c r="BI440" s="22"/>
      <c r="BJ440" s="22"/>
      <c r="BK440" s="22"/>
      <c r="BL440" s="22"/>
      <c r="BM440" s="22"/>
      <c r="BN440" s="22"/>
      <c r="BO440" s="22"/>
      <c r="BP440" s="22"/>
      <c r="BQ440" s="22"/>
      <c r="BR440" s="22"/>
      <c r="BS440" s="22"/>
    </row>
    <row r="441">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c r="BI441" s="22"/>
      <c r="BJ441" s="22"/>
      <c r="BK441" s="22"/>
      <c r="BL441" s="22"/>
      <c r="BM441" s="22"/>
      <c r="BN441" s="22"/>
      <c r="BO441" s="22"/>
      <c r="BP441" s="22"/>
      <c r="BQ441" s="22"/>
      <c r="BR441" s="22"/>
      <c r="BS441" s="22"/>
    </row>
    <row r="44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c r="BI442" s="22"/>
      <c r="BJ442" s="22"/>
      <c r="BK442" s="22"/>
      <c r="BL442" s="22"/>
      <c r="BM442" s="22"/>
      <c r="BN442" s="22"/>
      <c r="BO442" s="22"/>
      <c r="BP442" s="22"/>
      <c r="BQ442" s="22"/>
      <c r="BR442" s="22"/>
      <c r="BS442" s="22"/>
    </row>
    <row r="443">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c r="BI443" s="22"/>
      <c r="BJ443" s="22"/>
      <c r="BK443" s="22"/>
      <c r="BL443" s="22"/>
      <c r="BM443" s="22"/>
      <c r="BN443" s="22"/>
      <c r="BO443" s="22"/>
      <c r="BP443" s="22"/>
      <c r="BQ443" s="22"/>
      <c r="BR443" s="22"/>
      <c r="BS443" s="22"/>
    </row>
    <row r="444">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c r="BI444" s="22"/>
      <c r="BJ444" s="22"/>
      <c r="BK444" s="22"/>
      <c r="BL444" s="22"/>
      <c r="BM444" s="22"/>
      <c r="BN444" s="22"/>
      <c r="BO444" s="22"/>
      <c r="BP444" s="22"/>
      <c r="BQ444" s="22"/>
      <c r="BR444" s="22"/>
      <c r="BS444" s="22"/>
    </row>
    <row r="445">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c r="BI445" s="22"/>
      <c r="BJ445" s="22"/>
      <c r="BK445" s="22"/>
      <c r="BL445" s="22"/>
      <c r="BM445" s="22"/>
      <c r="BN445" s="22"/>
      <c r="BO445" s="22"/>
      <c r="BP445" s="22"/>
      <c r="BQ445" s="22"/>
      <c r="BR445" s="22"/>
      <c r="BS445" s="22"/>
    </row>
    <row r="446">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c r="BI446" s="22"/>
      <c r="BJ446" s="22"/>
      <c r="BK446" s="22"/>
      <c r="BL446" s="22"/>
      <c r="BM446" s="22"/>
      <c r="BN446" s="22"/>
      <c r="BO446" s="22"/>
      <c r="BP446" s="22"/>
      <c r="BQ446" s="22"/>
      <c r="BR446" s="22"/>
      <c r="BS446" s="22"/>
    </row>
    <row r="447">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c r="BI447" s="22"/>
      <c r="BJ447" s="22"/>
      <c r="BK447" s="22"/>
      <c r="BL447" s="22"/>
      <c r="BM447" s="22"/>
      <c r="BN447" s="22"/>
      <c r="BO447" s="22"/>
      <c r="BP447" s="22"/>
      <c r="BQ447" s="22"/>
      <c r="BR447" s="22"/>
      <c r="BS447" s="22"/>
    </row>
    <row r="448">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22"/>
      <c r="BF448" s="22"/>
      <c r="BG448" s="22"/>
      <c r="BH448" s="22"/>
      <c r="BI448" s="22"/>
      <c r="BJ448" s="22"/>
      <c r="BK448" s="22"/>
      <c r="BL448" s="22"/>
      <c r="BM448" s="22"/>
      <c r="BN448" s="22"/>
      <c r="BO448" s="22"/>
      <c r="BP448" s="22"/>
      <c r="BQ448" s="22"/>
      <c r="BR448" s="22"/>
      <c r="BS448" s="22"/>
    </row>
    <row r="449">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c r="BI449" s="22"/>
      <c r="BJ449" s="22"/>
      <c r="BK449" s="22"/>
      <c r="BL449" s="22"/>
      <c r="BM449" s="22"/>
      <c r="BN449" s="22"/>
      <c r="BO449" s="22"/>
      <c r="BP449" s="22"/>
      <c r="BQ449" s="22"/>
      <c r="BR449" s="22"/>
      <c r="BS449" s="22"/>
    </row>
    <row r="450">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c r="BI450" s="22"/>
      <c r="BJ450" s="22"/>
      <c r="BK450" s="22"/>
      <c r="BL450" s="22"/>
      <c r="BM450" s="22"/>
      <c r="BN450" s="22"/>
      <c r="BO450" s="22"/>
      <c r="BP450" s="22"/>
      <c r="BQ450" s="22"/>
      <c r="BR450" s="22"/>
      <c r="BS450" s="22"/>
    </row>
    <row r="451">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c r="BI451" s="22"/>
      <c r="BJ451" s="22"/>
      <c r="BK451" s="22"/>
      <c r="BL451" s="22"/>
      <c r="BM451" s="22"/>
      <c r="BN451" s="22"/>
      <c r="BO451" s="22"/>
      <c r="BP451" s="22"/>
      <c r="BQ451" s="22"/>
      <c r="BR451" s="22"/>
      <c r="BS451" s="22"/>
    </row>
    <row r="45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c r="BI452" s="22"/>
      <c r="BJ452" s="22"/>
      <c r="BK452" s="22"/>
      <c r="BL452" s="22"/>
      <c r="BM452" s="22"/>
      <c r="BN452" s="22"/>
      <c r="BO452" s="22"/>
      <c r="BP452" s="22"/>
      <c r="BQ452" s="22"/>
      <c r="BR452" s="22"/>
      <c r="BS452" s="22"/>
    </row>
    <row r="453">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c r="BI453" s="22"/>
      <c r="BJ453" s="22"/>
      <c r="BK453" s="22"/>
      <c r="BL453" s="22"/>
      <c r="BM453" s="22"/>
      <c r="BN453" s="22"/>
      <c r="BO453" s="22"/>
      <c r="BP453" s="22"/>
      <c r="BQ453" s="22"/>
      <c r="BR453" s="22"/>
      <c r="BS453" s="22"/>
    </row>
    <row r="454">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c r="BI454" s="22"/>
      <c r="BJ454" s="22"/>
      <c r="BK454" s="22"/>
      <c r="BL454" s="22"/>
      <c r="BM454" s="22"/>
      <c r="BN454" s="22"/>
      <c r="BO454" s="22"/>
      <c r="BP454" s="22"/>
      <c r="BQ454" s="22"/>
      <c r="BR454" s="22"/>
      <c r="BS454" s="22"/>
    </row>
    <row r="455">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22"/>
      <c r="BF455" s="22"/>
      <c r="BG455" s="22"/>
      <c r="BH455" s="22"/>
      <c r="BI455" s="22"/>
      <c r="BJ455" s="22"/>
      <c r="BK455" s="22"/>
      <c r="BL455" s="22"/>
      <c r="BM455" s="22"/>
      <c r="BN455" s="22"/>
      <c r="BO455" s="22"/>
      <c r="BP455" s="22"/>
      <c r="BQ455" s="22"/>
      <c r="BR455" s="22"/>
      <c r="BS455" s="22"/>
    </row>
    <row r="456">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c r="BI456" s="22"/>
      <c r="BJ456" s="22"/>
      <c r="BK456" s="22"/>
      <c r="BL456" s="22"/>
      <c r="BM456" s="22"/>
      <c r="BN456" s="22"/>
      <c r="BO456" s="22"/>
      <c r="BP456" s="22"/>
      <c r="BQ456" s="22"/>
      <c r="BR456" s="22"/>
      <c r="BS456" s="22"/>
    </row>
    <row r="457">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c r="BI457" s="22"/>
      <c r="BJ457" s="22"/>
      <c r="BK457" s="22"/>
      <c r="BL457" s="22"/>
      <c r="BM457" s="22"/>
      <c r="BN457" s="22"/>
      <c r="BO457" s="22"/>
      <c r="BP457" s="22"/>
      <c r="BQ457" s="22"/>
      <c r="BR457" s="22"/>
      <c r="BS457" s="22"/>
    </row>
    <row r="458">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c r="BI458" s="22"/>
      <c r="BJ458" s="22"/>
      <c r="BK458" s="22"/>
      <c r="BL458" s="22"/>
      <c r="BM458" s="22"/>
      <c r="BN458" s="22"/>
      <c r="BO458" s="22"/>
      <c r="BP458" s="22"/>
      <c r="BQ458" s="22"/>
      <c r="BR458" s="22"/>
      <c r="BS458" s="22"/>
    </row>
    <row r="459">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c r="BI459" s="22"/>
      <c r="BJ459" s="22"/>
      <c r="BK459" s="22"/>
      <c r="BL459" s="22"/>
      <c r="BM459" s="22"/>
      <c r="BN459" s="22"/>
      <c r="BO459" s="22"/>
      <c r="BP459" s="22"/>
      <c r="BQ459" s="22"/>
      <c r="BR459" s="22"/>
      <c r="BS459" s="22"/>
    </row>
    <row r="460">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c r="BI460" s="22"/>
      <c r="BJ460" s="22"/>
      <c r="BK460" s="22"/>
      <c r="BL460" s="22"/>
      <c r="BM460" s="22"/>
      <c r="BN460" s="22"/>
      <c r="BO460" s="22"/>
      <c r="BP460" s="22"/>
      <c r="BQ460" s="22"/>
      <c r="BR460" s="22"/>
      <c r="BS460" s="22"/>
    </row>
    <row r="461">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c r="BI461" s="22"/>
      <c r="BJ461" s="22"/>
      <c r="BK461" s="22"/>
      <c r="BL461" s="22"/>
      <c r="BM461" s="22"/>
      <c r="BN461" s="22"/>
      <c r="BO461" s="22"/>
      <c r="BP461" s="22"/>
      <c r="BQ461" s="22"/>
      <c r="BR461" s="22"/>
      <c r="BS461" s="22"/>
    </row>
    <row r="46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c r="BI462" s="22"/>
      <c r="BJ462" s="22"/>
      <c r="BK462" s="22"/>
      <c r="BL462" s="22"/>
      <c r="BM462" s="22"/>
      <c r="BN462" s="22"/>
      <c r="BO462" s="22"/>
      <c r="BP462" s="22"/>
      <c r="BQ462" s="22"/>
      <c r="BR462" s="22"/>
      <c r="BS462" s="22"/>
    </row>
    <row r="463">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c r="BI463" s="22"/>
      <c r="BJ463" s="22"/>
      <c r="BK463" s="22"/>
      <c r="BL463" s="22"/>
      <c r="BM463" s="22"/>
      <c r="BN463" s="22"/>
      <c r="BO463" s="22"/>
      <c r="BP463" s="22"/>
      <c r="BQ463" s="22"/>
      <c r="BR463" s="22"/>
      <c r="BS463" s="22"/>
    </row>
    <row r="464">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22"/>
      <c r="BF464" s="22"/>
      <c r="BG464" s="22"/>
      <c r="BH464" s="22"/>
      <c r="BI464" s="22"/>
      <c r="BJ464" s="22"/>
      <c r="BK464" s="22"/>
      <c r="BL464" s="22"/>
      <c r="BM464" s="22"/>
      <c r="BN464" s="22"/>
      <c r="BO464" s="22"/>
      <c r="BP464" s="22"/>
      <c r="BQ464" s="22"/>
      <c r="BR464" s="22"/>
      <c r="BS464" s="22"/>
    </row>
    <row r="465">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c r="BI465" s="22"/>
      <c r="BJ465" s="22"/>
      <c r="BK465" s="22"/>
      <c r="BL465" s="22"/>
      <c r="BM465" s="22"/>
      <c r="BN465" s="22"/>
      <c r="BO465" s="22"/>
      <c r="BP465" s="22"/>
      <c r="BQ465" s="22"/>
      <c r="BR465" s="22"/>
      <c r="BS465" s="22"/>
    </row>
    <row r="466">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c r="BI466" s="22"/>
      <c r="BJ466" s="22"/>
      <c r="BK466" s="22"/>
      <c r="BL466" s="22"/>
      <c r="BM466" s="22"/>
      <c r="BN466" s="22"/>
      <c r="BO466" s="22"/>
      <c r="BP466" s="22"/>
      <c r="BQ466" s="22"/>
      <c r="BR466" s="22"/>
      <c r="BS466" s="22"/>
    </row>
    <row r="467">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c r="BI467" s="22"/>
      <c r="BJ467" s="22"/>
      <c r="BK467" s="22"/>
      <c r="BL467" s="22"/>
      <c r="BM467" s="22"/>
      <c r="BN467" s="22"/>
      <c r="BO467" s="22"/>
      <c r="BP467" s="22"/>
      <c r="BQ467" s="22"/>
      <c r="BR467" s="22"/>
      <c r="BS467" s="22"/>
    </row>
    <row r="468">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c r="BI468" s="22"/>
      <c r="BJ468" s="22"/>
      <c r="BK468" s="22"/>
      <c r="BL468" s="22"/>
      <c r="BM468" s="22"/>
      <c r="BN468" s="22"/>
      <c r="BO468" s="22"/>
      <c r="BP468" s="22"/>
      <c r="BQ468" s="22"/>
      <c r="BR468" s="22"/>
      <c r="BS468" s="22"/>
    </row>
    <row r="469">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c r="BI469" s="22"/>
      <c r="BJ469" s="22"/>
      <c r="BK469" s="22"/>
      <c r="BL469" s="22"/>
      <c r="BM469" s="22"/>
      <c r="BN469" s="22"/>
      <c r="BO469" s="22"/>
      <c r="BP469" s="22"/>
      <c r="BQ469" s="22"/>
      <c r="BR469" s="22"/>
      <c r="BS469" s="22"/>
    </row>
    <row r="470">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c r="BI470" s="22"/>
      <c r="BJ470" s="22"/>
      <c r="BK470" s="22"/>
      <c r="BL470" s="22"/>
      <c r="BM470" s="22"/>
      <c r="BN470" s="22"/>
      <c r="BO470" s="22"/>
      <c r="BP470" s="22"/>
      <c r="BQ470" s="22"/>
      <c r="BR470" s="22"/>
      <c r="BS470" s="22"/>
    </row>
    <row r="471">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c r="BI471" s="22"/>
      <c r="BJ471" s="22"/>
      <c r="BK471" s="22"/>
      <c r="BL471" s="22"/>
      <c r="BM471" s="22"/>
      <c r="BN471" s="22"/>
      <c r="BO471" s="22"/>
      <c r="BP471" s="22"/>
      <c r="BQ471" s="22"/>
      <c r="BR471" s="22"/>
      <c r="BS471" s="22"/>
    </row>
    <row r="47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c r="BI472" s="22"/>
      <c r="BJ472" s="22"/>
      <c r="BK472" s="22"/>
      <c r="BL472" s="22"/>
      <c r="BM472" s="22"/>
      <c r="BN472" s="22"/>
      <c r="BO472" s="22"/>
      <c r="BP472" s="22"/>
      <c r="BQ472" s="22"/>
      <c r="BR472" s="22"/>
      <c r="BS472" s="22"/>
    </row>
    <row r="473">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c r="BI473" s="22"/>
      <c r="BJ473" s="22"/>
      <c r="BK473" s="22"/>
      <c r="BL473" s="22"/>
      <c r="BM473" s="22"/>
      <c r="BN473" s="22"/>
      <c r="BO473" s="22"/>
      <c r="BP473" s="22"/>
      <c r="BQ473" s="22"/>
      <c r="BR473" s="22"/>
      <c r="BS473" s="22"/>
    </row>
    <row r="474">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c r="BI474" s="22"/>
      <c r="BJ474" s="22"/>
      <c r="BK474" s="22"/>
      <c r="BL474" s="22"/>
      <c r="BM474" s="22"/>
      <c r="BN474" s="22"/>
      <c r="BO474" s="22"/>
      <c r="BP474" s="22"/>
      <c r="BQ474" s="22"/>
      <c r="BR474" s="22"/>
      <c r="BS474" s="22"/>
    </row>
    <row r="475">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22"/>
      <c r="BF475" s="22"/>
      <c r="BG475" s="22"/>
      <c r="BH475" s="22"/>
      <c r="BI475" s="22"/>
      <c r="BJ475" s="22"/>
      <c r="BK475" s="22"/>
      <c r="BL475" s="22"/>
      <c r="BM475" s="22"/>
      <c r="BN475" s="22"/>
      <c r="BO475" s="22"/>
      <c r="BP475" s="22"/>
      <c r="BQ475" s="22"/>
      <c r="BR475" s="22"/>
      <c r="BS475" s="22"/>
    </row>
    <row r="476">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c r="BI476" s="22"/>
      <c r="BJ476" s="22"/>
      <c r="BK476" s="22"/>
      <c r="BL476" s="22"/>
      <c r="BM476" s="22"/>
      <c r="BN476" s="22"/>
      <c r="BO476" s="22"/>
      <c r="BP476" s="22"/>
      <c r="BQ476" s="22"/>
      <c r="BR476" s="22"/>
      <c r="BS476" s="22"/>
    </row>
    <row r="477">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c r="BI477" s="22"/>
      <c r="BJ477" s="22"/>
      <c r="BK477" s="22"/>
      <c r="BL477" s="22"/>
      <c r="BM477" s="22"/>
      <c r="BN477" s="22"/>
      <c r="BO477" s="22"/>
      <c r="BP477" s="22"/>
      <c r="BQ477" s="22"/>
      <c r="BR477" s="22"/>
      <c r="BS477" s="22"/>
    </row>
    <row r="478">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c r="BI478" s="22"/>
      <c r="BJ478" s="22"/>
      <c r="BK478" s="22"/>
      <c r="BL478" s="22"/>
      <c r="BM478" s="22"/>
      <c r="BN478" s="22"/>
      <c r="BO478" s="22"/>
      <c r="BP478" s="22"/>
      <c r="BQ478" s="22"/>
      <c r="BR478" s="22"/>
      <c r="BS478" s="22"/>
    </row>
    <row r="479">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22"/>
      <c r="BF479" s="22"/>
      <c r="BG479" s="22"/>
      <c r="BH479" s="22"/>
      <c r="BI479" s="22"/>
      <c r="BJ479" s="22"/>
      <c r="BK479" s="22"/>
      <c r="BL479" s="22"/>
      <c r="BM479" s="22"/>
      <c r="BN479" s="22"/>
      <c r="BO479" s="22"/>
      <c r="BP479" s="22"/>
      <c r="BQ479" s="22"/>
      <c r="BR479" s="22"/>
      <c r="BS479" s="22"/>
    </row>
    <row r="480">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22"/>
      <c r="BF480" s="22"/>
      <c r="BG480" s="22"/>
      <c r="BH480" s="22"/>
      <c r="BI480" s="22"/>
      <c r="BJ480" s="22"/>
      <c r="BK480" s="22"/>
      <c r="BL480" s="22"/>
      <c r="BM480" s="22"/>
      <c r="BN480" s="22"/>
      <c r="BO480" s="22"/>
      <c r="BP480" s="22"/>
      <c r="BQ480" s="22"/>
      <c r="BR480" s="22"/>
      <c r="BS480" s="22"/>
    </row>
    <row r="481">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22"/>
      <c r="BF481" s="22"/>
      <c r="BG481" s="22"/>
      <c r="BH481" s="22"/>
      <c r="BI481" s="22"/>
      <c r="BJ481" s="22"/>
      <c r="BK481" s="22"/>
      <c r="BL481" s="22"/>
      <c r="BM481" s="22"/>
      <c r="BN481" s="22"/>
      <c r="BO481" s="22"/>
      <c r="BP481" s="22"/>
      <c r="BQ481" s="22"/>
      <c r="BR481" s="22"/>
      <c r="BS481" s="22"/>
    </row>
    <row r="48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22"/>
      <c r="BF482" s="22"/>
      <c r="BG482" s="22"/>
      <c r="BH482" s="22"/>
      <c r="BI482" s="22"/>
      <c r="BJ482" s="22"/>
      <c r="BK482" s="22"/>
      <c r="BL482" s="22"/>
      <c r="BM482" s="22"/>
      <c r="BN482" s="22"/>
      <c r="BO482" s="22"/>
      <c r="BP482" s="22"/>
      <c r="BQ482" s="22"/>
      <c r="BR482" s="22"/>
      <c r="BS482" s="22"/>
    </row>
    <row r="483">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22"/>
      <c r="BF483" s="22"/>
      <c r="BG483" s="22"/>
      <c r="BH483" s="22"/>
      <c r="BI483" s="22"/>
      <c r="BJ483" s="22"/>
      <c r="BK483" s="22"/>
      <c r="BL483" s="22"/>
      <c r="BM483" s="22"/>
      <c r="BN483" s="22"/>
      <c r="BO483" s="22"/>
      <c r="BP483" s="22"/>
      <c r="BQ483" s="22"/>
      <c r="BR483" s="22"/>
      <c r="BS483" s="22"/>
    </row>
    <row r="484">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c r="BI484" s="22"/>
      <c r="BJ484" s="22"/>
      <c r="BK484" s="22"/>
      <c r="BL484" s="22"/>
      <c r="BM484" s="22"/>
      <c r="BN484" s="22"/>
      <c r="BO484" s="22"/>
      <c r="BP484" s="22"/>
      <c r="BQ484" s="22"/>
      <c r="BR484" s="22"/>
      <c r="BS484" s="22"/>
    </row>
    <row r="485">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22"/>
      <c r="BF485" s="22"/>
      <c r="BG485" s="22"/>
      <c r="BH485" s="22"/>
      <c r="BI485" s="22"/>
      <c r="BJ485" s="22"/>
      <c r="BK485" s="22"/>
      <c r="BL485" s="22"/>
      <c r="BM485" s="22"/>
      <c r="BN485" s="22"/>
      <c r="BO485" s="22"/>
      <c r="BP485" s="22"/>
      <c r="BQ485" s="22"/>
      <c r="BR485" s="22"/>
      <c r="BS485" s="22"/>
    </row>
    <row r="486">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22"/>
      <c r="BF486" s="22"/>
      <c r="BG486" s="22"/>
      <c r="BH486" s="22"/>
      <c r="BI486" s="22"/>
      <c r="BJ486" s="22"/>
      <c r="BK486" s="22"/>
      <c r="BL486" s="22"/>
      <c r="BM486" s="22"/>
      <c r="BN486" s="22"/>
      <c r="BO486" s="22"/>
      <c r="BP486" s="22"/>
      <c r="BQ486" s="22"/>
      <c r="BR486" s="22"/>
      <c r="BS486" s="22"/>
    </row>
    <row r="487">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22"/>
      <c r="BF487" s="22"/>
      <c r="BG487" s="22"/>
      <c r="BH487" s="22"/>
      <c r="BI487" s="22"/>
      <c r="BJ487" s="22"/>
      <c r="BK487" s="22"/>
      <c r="BL487" s="22"/>
      <c r="BM487" s="22"/>
      <c r="BN487" s="22"/>
      <c r="BO487" s="22"/>
      <c r="BP487" s="22"/>
      <c r="BQ487" s="22"/>
      <c r="BR487" s="22"/>
      <c r="BS487" s="22"/>
    </row>
    <row r="488">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c r="BI488" s="22"/>
      <c r="BJ488" s="22"/>
      <c r="BK488" s="22"/>
      <c r="BL488" s="22"/>
      <c r="BM488" s="22"/>
      <c r="BN488" s="22"/>
      <c r="BO488" s="22"/>
      <c r="BP488" s="22"/>
      <c r="BQ488" s="22"/>
      <c r="BR488" s="22"/>
      <c r="BS488" s="22"/>
    </row>
    <row r="489">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22"/>
      <c r="BF489" s="22"/>
      <c r="BG489" s="22"/>
      <c r="BH489" s="22"/>
      <c r="BI489" s="22"/>
      <c r="BJ489" s="22"/>
      <c r="BK489" s="22"/>
      <c r="BL489" s="22"/>
      <c r="BM489" s="22"/>
      <c r="BN489" s="22"/>
      <c r="BO489" s="22"/>
      <c r="BP489" s="22"/>
      <c r="BQ489" s="22"/>
      <c r="BR489" s="22"/>
      <c r="BS489" s="22"/>
    </row>
    <row r="490">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22"/>
      <c r="BF490" s="22"/>
      <c r="BG490" s="22"/>
      <c r="BH490" s="22"/>
      <c r="BI490" s="22"/>
      <c r="BJ490" s="22"/>
      <c r="BK490" s="22"/>
      <c r="BL490" s="22"/>
      <c r="BM490" s="22"/>
      <c r="BN490" s="22"/>
      <c r="BO490" s="22"/>
      <c r="BP490" s="22"/>
      <c r="BQ490" s="22"/>
      <c r="BR490" s="22"/>
      <c r="BS490" s="22"/>
    </row>
    <row r="491">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22"/>
      <c r="BF491" s="22"/>
      <c r="BG491" s="22"/>
      <c r="BH491" s="22"/>
      <c r="BI491" s="22"/>
      <c r="BJ491" s="22"/>
      <c r="BK491" s="22"/>
      <c r="BL491" s="22"/>
      <c r="BM491" s="22"/>
      <c r="BN491" s="22"/>
      <c r="BO491" s="22"/>
      <c r="BP491" s="22"/>
      <c r="BQ491" s="22"/>
      <c r="BR491" s="22"/>
      <c r="BS491" s="22"/>
    </row>
    <row r="49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22"/>
      <c r="BF492" s="22"/>
      <c r="BG492" s="22"/>
      <c r="BH492" s="22"/>
      <c r="BI492" s="22"/>
      <c r="BJ492" s="22"/>
      <c r="BK492" s="22"/>
      <c r="BL492" s="22"/>
      <c r="BM492" s="22"/>
      <c r="BN492" s="22"/>
      <c r="BO492" s="22"/>
      <c r="BP492" s="22"/>
      <c r="BQ492" s="22"/>
      <c r="BR492" s="22"/>
      <c r="BS492" s="22"/>
    </row>
    <row r="493">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22"/>
      <c r="BF493" s="22"/>
      <c r="BG493" s="22"/>
      <c r="BH493" s="22"/>
      <c r="BI493" s="22"/>
      <c r="BJ493" s="22"/>
      <c r="BK493" s="22"/>
      <c r="BL493" s="22"/>
      <c r="BM493" s="22"/>
      <c r="BN493" s="22"/>
      <c r="BO493" s="22"/>
      <c r="BP493" s="22"/>
      <c r="BQ493" s="22"/>
      <c r="BR493" s="22"/>
      <c r="BS493" s="22"/>
    </row>
    <row r="494">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c r="BI494" s="22"/>
      <c r="BJ494" s="22"/>
      <c r="BK494" s="22"/>
      <c r="BL494" s="22"/>
      <c r="BM494" s="22"/>
      <c r="BN494" s="22"/>
      <c r="BO494" s="22"/>
      <c r="BP494" s="22"/>
      <c r="BQ494" s="22"/>
      <c r="BR494" s="22"/>
      <c r="BS494" s="22"/>
    </row>
    <row r="495">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22"/>
      <c r="BF495" s="22"/>
      <c r="BG495" s="22"/>
      <c r="BH495" s="22"/>
      <c r="BI495" s="22"/>
      <c r="BJ495" s="22"/>
      <c r="BK495" s="22"/>
      <c r="BL495" s="22"/>
      <c r="BM495" s="22"/>
      <c r="BN495" s="22"/>
      <c r="BO495" s="22"/>
      <c r="BP495" s="22"/>
      <c r="BQ495" s="22"/>
      <c r="BR495" s="22"/>
      <c r="BS495" s="22"/>
    </row>
    <row r="496">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c r="BI496" s="22"/>
      <c r="BJ496" s="22"/>
      <c r="BK496" s="22"/>
      <c r="BL496" s="22"/>
      <c r="BM496" s="22"/>
      <c r="BN496" s="22"/>
      <c r="BO496" s="22"/>
      <c r="BP496" s="22"/>
      <c r="BQ496" s="22"/>
      <c r="BR496" s="22"/>
      <c r="BS496" s="22"/>
    </row>
    <row r="497">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c r="BI497" s="22"/>
      <c r="BJ497" s="22"/>
      <c r="BK497" s="22"/>
      <c r="BL497" s="22"/>
      <c r="BM497" s="22"/>
      <c r="BN497" s="22"/>
      <c r="BO497" s="22"/>
      <c r="BP497" s="22"/>
      <c r="BQ497" s="22"/>
      <c r="BR497" s="22"/>
      <c r="BS497" s="22"/>
    </row>
    <row r="498">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c r="BI498" s="22"/>
      <c r="BJ498" s="22"/>
      <c r="BK498" s="22"/>
      <c r="BL498" s="22"/>
      <c r="BM498" s="22"/>
      <c r="BN498" s="22"/>
      <c r="BO498" s="22"/>
      <c r="BP498" s="22"/>
      <c r="BQ498" s="22"/>
      <c r="BR498" s="22"/>
      <c r="BS498" s="22"/>
    </row>
    <row r="499">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c r="BI499" s="22"/>
      <c r="BJ499" s="22"/>
      <c r="BK499" s="22"/>
      <c r="BL499" s="22"/>
      <c r="BM499" s="22"/>
      <c r="BN499" s="22"/>
      <c r="BO499" s="22"/>
      <c r="BP499" s="22"/>
      <c r="BQ499" s="22"/>
      <c r="BR499" s="22"/>
      <c r="BS499" s="22"/>
    </row>
    <row r="500">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c r="BI500" s="22"/>
      <c r="BJ500" s="22"/>
      <c r="BK500" s="22"/>
      <c r="BL500" s="22"/>
      <c r="BM500" s="22"/>
      <c r="BN500" s="22"/>
      <c r="BO500" s="22"/>
      <c r="BP500" s="22"/>
      <c r="BQ500" s="22"/>
      <c r="BR500" s="22"/>
      <c r="BS500" s="22"/>
    </row>
    <row r="501">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c r="BI501" s="22"/>
      <c r="BJ501" s="22"/>
      <c r="BK501" s="22"/>
      <c r="BL501" s="22"/>
      <c r="BM501" s="22"/>
      <c r="BN501" s="22"/>
      <c r="BO501" s="22"/>
      <c r="BP501" s="22"/>
      <c r="BQ501" s="22"/>
      <c r="BR501" s="22"/>
      <c r="BS501" s="22"/>
    </row>
    <row r="50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22"/>
      <c r="BF502" s="22"/>
      <c r="BG502" s="22"/>
      <c r="BH502" s="22"/>
      <c r="BI502" s="22"/>
      <c r="BJ502" s="22"/>
      <c r="BK502" s="22"/>
      <c r="BL502" s="22"/>
      <c r="BM502" s="22"/>
      <c r="BN502" s="22"/>
      <c r="BO502" s="22"/>
      <c r="BP502" s="22"/>
      <c r="BQ502" s="22"/>
      <c r="BR502" s="22"/>
      <c r="BS502" s="22"/>
    </row>
    <row r="503">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c r="BI503" s="22"/>
      <c r="BJ503" s="22"/>
      <c r="BK503" s="22"/>
      <c r="BL503" s="22"/>
      <c r="BM503" s="22"/>
      <c r="BN503" s="22"/>
      <c r="BO503" s="22"/>
      <c r="BP503" s="22"/>
      <c r="BQ503" s="22"/>
      <c r="BR503" s="22"/>
      <c r="BS503" s="22"/>
    </row>
    <row r="504">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c r="BI504" s="22"/>
      <c r="BJ504" s="22"/>
      <c r="BK504" s="22"/>
      <c r="BL504" s="22"/>
      <c r="BM504" s="22"/>
      <c r="BN504" s="22"/>
      <c r="BO504" s="22"/>
      <c r="BP504" s="22"/>
      <c r="BQ504" s="22"/>
      <c r="BR504" s="22"/>
      <c r="BS504" s="22"/>
    </row>
    <row r="505">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c r="BI505" s="22"/>
      <c r="BJ505" s="22"/>
      <c r="BK505" s="22"/>
      <c r="BL505" s="22"/>
      <c r="BM505" s="22"/>
      <c r="BN505" s="22"/>
      <c r="BO505" s="22"/>
      <c r="BP505" s="22"/>
      <c r="BQ505" s="22"/>
      <c r="BR505" s="22"/>
      <c r="BS505" s="22"/>
    </row>
    <row r="506">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c r="BI506" s="22"/>
      <c r="BJ506" s="22"/>
      <c r="BK506" s="22"/>
      <c r="BL506" s="22"/>
      <c r="BM506" s="22"/>
      <c r="BN506" s="22"/>
      <c r="BO506" s="22"/>
      <c r="BP506" s="22"/>
      <c r="BQ506" s="22"/>
      <c r="BR506" s="22"/>
      <c r="BS506" s="22"/>
    </row>
    <row r="507">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22"/>
      <c r="BF507" s="22"/>
      <c r="BG507" s="22"/>
      <c r="BH507" s="22"/>
      <c r="BI507" s="22"/>
      <c r="BJ507" s="22"/>
      <c r="BK507" s="22"/>
      <c r="BL507" s="22"/>
      <c r="BM507" s="22"/>
      <c r="BN507" s="22"/>
      <c r="BO507" s="22"/>
      <c r="BP507" s="22"/>
      <c r="BQ507" s="22"/>
      <c r="BR507" s="22"/>
      <c r="BS507" s="22"/>
    </row>
    <row r="508">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c r="BI508" s="22"/>
      <c r="BJ508" s="22"/>
      <c r="BK508" s="22"/>
      <c r="BL508" s="22"/>
      <c r="BM508" s="22"/>
      <c r="BN508" s="22"/>
      <c r="BO508" s="22"/>
      <c r="BP508" s="22"/>
      <c r="BQ508" s="22"/>
      <c r="BR508" s="22"/>
      <c r="BS508" s="22"/>
    </row>
    <row r="509">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c r="BI509" s="22"/>
      <c r="BJ509" s="22"/>
      <c r="BK509" s="22"/>
      <c r="BL509" s="22"/>
      <c r="BM509" s="22"/>
      <c r="BN509" s="22"/>
      <c r="BO509" s="22"/>
      <c r="BP509" s="22"/>
      <c r="BQ509" s="22"/>
      <c r="BR509" s="22"/>
      <c r="BS509" s="22"/>
    </row>
    <row r="510">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22"/>
      <c r="BF510" s="22"/>
      <c r="BG510" s="22"/>
      <c r="BH510" s="22"/>
      <c r="BI510" s="22"/>
      <c r="BJ510" s="22"/>
      <c r="BK510" s="22"/>
      <c r="BL510" s="22"/>
      <c r="BM510" s="22"/>
      <c r="BN510" s="22"/>
      <c r="BO510" s="22"/>
      <c r="BP510" s="22"/>
      <c r="BQ510" s="22"/>
      <c r="BR510" s="22"/>
      <c r="BS510" s="22"/>
    </row>
    <row r="511">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c r="BI511" s="22"/>
      <c r="BJ511" s="22"/>
      <c r="BK511" s="22"/>
      <c r="BL511" s="22"/>
      <c r="BM511" s="22"/>
      <c r="BN511" s="22"/>
      <c r="BO511" s="22"/>
      <c r="BP511" s="22"/>
      <c r="BQ511" s="22"/>
      <c r="BR511" s="22"/>
      <c r="BS511" s="22"/>
    </row>
    <row r="51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c r="BI512" s="22"/>
      <c r="BJ512" s="22"/>
      <c r="BK512" s="22"/>
      <c r="BL512" s="22"/>
      <c r="BM512" s="22"/>
      <c r="BN512" s="22"/>
      <c r="BO512" s="22"/>
      <c r="BP512" s="22"/>
      <c r="BQ512" s="22"/>
      <c r="BR512" s="22"/>
      <c r="BS512" s="22"/>
    </row>
    <row r="513">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c r="BI513" s="22"/>
      <c r="BJ513" s="22"/>
      <c r="BK513" s="22"/>
      <c r="BL513" s="22"/>
      <c r="BM513" s="22"/>
      <c r="BN513" s="22"/>
      <c r="BO513" s="22"/>
      <c r="BP513" s="22"/>
      <c r="BQ513" s="22"/>
      <c r="BR513" s="22"/>
      <c r="BS513" s="22"/>
    </row>
    <row r="514">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c r="BI514" s="22"/>
      <c r="BJ514" s="22"/>
      <c r="BK514" s="22"/>
      <c r="BL514" s="22"/>
      <c r="BM514" s="22"/>
      <c r="BN514" s="22"/>
      <c r="BO514" s="22"/>
      <c r="BP514" s="22"/>
      <c r="BQ514" s="22"/>
      <c r="BR514" s="22"/>
      <c r="BS514" s="22"/>
    </row>
    <row r="515">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c r="BI515" s="22"/>
      <c r="BJ515" s="22"/>
      <c r="BK515" s="22"/>
      <c r="BL515" s="22"/>
      <c r="BM515" s="22"/>
      <c r="BN515" s="22"/>
      <c r="BO515" s="22"/>
      <c r="BP515" s="22"/>
      <c r="BQ515" s="22"/>
      <c r="BR515" s="22"/>
      <c r="BS515" s="22"/>
    </row>
    <row r="516">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c r="BI516" s="22"/>
      <c r="BJ516" s="22"/>
      <c r="BK516" s="22"/>
      <c r="BL516" s="22"/>
      <c r="BM516" s="22"/>
      <c r="BN516" s="22"/>
      <c r="BO516" s="22"/>
      <c r="BP516" s="22"/>
      <c r="BQ516" s="22"/>
      <c r="BR516" s="22"/>
      <c r="BS516" s="22"/>
    </row>
    <row r="517">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c r="BI517" s="22"/>
      <c r="BJ517" s="22"/>
      <c r="BK517" s="22"/>
      <c r="BL517" s="22"/>
      <c r="BM517" s="22"/>
      <c r="BN517" s="22"/>
      <c r="BO517" s="22"/>
      <c r="BP517" s="22"/>
      <c r="BQ517" s="22"/>
      <c r="BR517" s="22"/>
      <c r="BS517" s="22"/>
    </row>
    <row r="518">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c r="BI518" s="22"/>
      <c r="BJ518" s="22"/>
      <c r="BK518" s="22"/>
      <c r="BL518" s="22"/>
      <c r="BM518" s="22"/>
      <c r="BN518" s="22"/>
      <c r="BO518" s="22"/>
      <c r="BP518" s="22"/>
      <c r="BQ518" s="22"/>
      <c r="BR518" s="22"/>
      <c r="BS518" s="22"/>
    </row>
    <row r="519">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c r="BI519" s="22"/>
      <c r="BJ519" s="22"/>
      <c r="BK519" s="22"/>
      <c r="BL519" s="22"/>
      <c r="BM519" s="22"/>
      <c r="BN519" s="22"/>
      <c r="BO519" s="22"/>
      <c r="BP519" s="22"/>
      <c r="BQ519" s="22"/>
      <c r="BR519" s="22"/>
      <c r="BS519" s="22"/>
    </row>
    <row r="520">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c r="BI520" s="22"/>
      <c r="BJ520" s="22"/>
      <c r="BK520" s="22"/>
      <c r="BL520" s="22"/>
      <c r="BM520" s="22"/>
      <c r="BN520" s="22"/>
      <c r="BO520" s="22"/>
      <c r="BP520" s="22"/>
      <c r="BQ520" s="22"/>
      <c r="BR520" s="22"/>
      <c r="BS520" s="22"/>
    </row>
    <row r="521">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c r="BI521" s="22"/>
      <c r="BJ521" s="22"/>
      <c r="BK521" s="22"/>
      <c r="BL521" s="22"/>
      <c r="BM521" s="22"/>
      <c r="BN521" s="22"/>
      <c r="BO521" s="22"/>
      <c r="BP521" s="22"/>
      <c r="BQ521" s="22"/>
      <c r="BR521" s="22"/>
      <c r="BS521" s="22"/>
    </row>
    <row r="5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c r="BI522" s="22"/>
      <c r="BJ522" s="22"/>
      <c r="BK522" s="22"/>
      <c r="BL522" s="22"/>
      <c r="BM522" s="22"/>
      <c r="BN522" s="22"/>
      <c r="BO522" s="22"/>
      <c r="BP522" s="22"/>
      <c r="BQ522" s="22"/>
      <c r="BR522" s="22"/>
      <c r="BS522" s="22"/>
    </row>
    <row r="523">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c r="BI523" s="22"/>
      <c r="BJ523" s="22"/>
      <c r="BK523" s="22"/>
      <c r="BL523" s="22"/>
      <c r="BM523" s="22"/>
      <c r="BN523" s="22"/>
      <c r="BO523" s="22"/>
      <c r="BP523" s="22"/>
      <c r="BQ523" s="22"/>
      <c r="BR523" s="22"/>
      <c r="BS523" s="22"/>
    </row>
    <row r="524">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c r="BI524" s="22"/>
      <c r="BJ524" s="22"/>
      <c r="BK524" s="22"/>
      <c r="BL524" s="22"/>
      <c r="BM524" s="22"/>
      <c r="BN524" s="22"/>
      <c r="BO524" s="22"/>
      <c r="BP524" s="22"/>
      <c r="BQ524" s="22"/>
      <c r="BR524" s="22"/>
      <c r="BS524" s="22"/>
    </row>
    <row r="525">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c r="BI525" s="22"/>
      <c r="BJ525" s="22"/>
      <c r="BK525" s="22"/>
      <c r="BL525" s="22"/>
      <c r="BM525" s="22"/>
      <c r="BN525" s="22"/>
      <c r="BO525" s="22"/>
      <c r="BP525" s="22"/>
      <c r="BQ525" s="22"/>
      <c r="BR525" s="22"/>
      <c r="BS525" s="22"/>
    </row>
    <row r="526">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c r="BI526" s="22"/>
      <c r="BJ526" s="22"/>
      <c r="BK526" s="22"/>
      <c r="BL526" s="22"/>
      <c r="BM526" s="22"/>
      <c r="BN526" s="22"/>
      <c r="BO526" s="22"/>
      <c r="BP526" s="22"/>
      <c r="BQ526" s="22"/>
      <c r="BR526" s="22"/>
      <c r="BS526" s="22"/>
    </row>
    <row r="527">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c r="BI527" s="22"/>
      <c r="BJ527" s="22"/>
      <c r="BK527" s="22"/>
      <c r="BL527" s="22"/>
      <c r="BM527" s="22"/>
      <c r="BN527" s="22"/>
      <c r="BO527" s="22"/>
      <c r="BP527" s="22"/>
      <c r="BQ527" s="22"/>
      <c r="BR527" s="22"/>
      <c r="BS527" s="22"/>
    </row>
    <row r="528">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c r="BI528" s="22"/>
      <c r="BJ528" s="22"/>
      <c r="BK528" s="22"/>
      <c r="BL528" s="22"/>
      <c r="BM528" s="22"/>
      <c r="BN528" s="22"/>
      <c r="BO528" s="22"/>
      <c r="BP528" s="22"/>
      <c r="BQ528" s="22"/>
      <c r="BR528" s="22"/>
      <c r="BS528" s="22"/>
    </row>
    <row r="529">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c r="BI529" s="22"/>
      <c r="BJ529" s="22"/>
      <c r="BK529" s="22"/>
      <c r="BL529" s="22"/>
      <c r="BM529" s="22"/>
      <c r="BN529" s="22"/>
      <c r="BO529" s="22"/>
      <c r="BP529" s="22"/>
      <c r="BQ529" s="22"/>
      <c r="BR529" s="22"/>
      <c r="BS529" s="22"/>
    </row>
    <row r="530">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c r="BI530" s="22"/>
      <c r="BJ530" s="22"/>
      <c r="BK530" s="22"/>
      <c r="BL530" s="22"/>
      <c r="BM530" s="22"/>
      <c r="BN530" s="22"/>
      <c r="BO530" s="22"/>
      <c r="BP530" s="22"/>
      <c r="BQ530" s="22"/>
      <c r="BR530" s="22"/>
      <c r="BS530" s="22"/>
    </row>
    <row r="531">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22"/>
      <c r="BF531" s="22"/>
      <c r="BG531" s="22"/>
      <c r="BH531" s="22"/>
      <c r="BI531" s="22"/>
      <c r="BJ531" s="22"/>
      <c r="BK531" s="22"/>
      <c r="BL531" s="22"/>
      <c r="BM531" s="22"/>
      <c r="BN531" s="22"/>
      <c r="BO531" s="22"/>
      <c r="BP531" s="22"/>
      <c r="BQ531" s="22"/>
      <c r="BR531" s="22"/>
      <c r="BS531" s="22"/>
    </row>
    <row r="53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c r="BI532" s="22"/>
      <c r="BJ532" s="22"/>
      <c r="BK532" s="22"/>
      <c r="BL532" s="22"/>
      <c r="BM532" s="22"/>
      <c r="BN532" s="22"/>
      <c r="BO532" s="22"/>
      <c r="BP532" s="22"/>
      <c r="BQ532" s="22"/>
      <c r="BR532" s="22"/>
      <c r="BS532" s="22"/>
    </row>
    <row r="533">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c r="BI533" s="22"/>
      <c r="BJ533" s="22"/>
      <c r="BK533" s="22"/>
      <c r="BL533" s="22"/>
      <c r="BM533" s="22"/>
      <c r="BN533" s="22"/>
      <c r="BO533" s="22"/>
      <c r="BP533" s="22"/>
      <c r="BQ533" s="22"/>
      <c r="BR533" s="22"/>
      <c r="BS533" s="22"/>
    </row>
    <row r="534">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c r="BI534" s="22"/>
      <c r="BJ534" s="22"/>
      <c r="BK534" s="22"/>
      <c r="BL534" s="22"/>
      <c r="BM534" s="22"/>
      <c r="BN534" s="22"/>
      <c r="BO534" s="22"/>
      <c r="BP534" s="22"/>
      <c r="BQ534" s="22"/>
      <c r="BR534" s="22"/>
      <c r="BS534" s="22"/>
    </row>
    <row r="535">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22"/>
      <c r="BF535" s="22"/>
      <c r="BG535" s="22"/>
      <c r="BH535" s="22"/>
      <c r="BI535" s="22"/>
      <c r="BJ535" s="22"/>
      <c r="BK535" s="22"/>
      <c r="BL535" s="22"/>
      <c r="BM535" s="22"/>
      <c r="BN535" s="22"/>
      <c r="BO535" s="22"/>
      <c r="BP535" s="22"/>
      <c r="BQ535" s="22"/>
      <c r="BR535" s="22"/>
      <c r="BS535" s="22"/>
    </row>
    <row r="536">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c r="BI536" s="22"/>
      <c r="BJ536" s="22"/>
      <c r="BK536" s="22"/>
      <c r="BL536" s="22"/>
      <c r="BM536" s="22"/>
      <c r="BN536" s="22"/>
      <c r="BO536" s="22"/>
      <c r="BP536" s="22"/>
      <c r="BQ536" s="22"/>
      <c r="BR536" s="22"/>
      <c r="BS536" s="22"/>
    </row>
    <row r="537">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c r="BI537" s="22"/>
      <c r="BJ537" s="22"/>
      <c r="BK537" s="22"/>
      <c r="BL537" s="22"/>
      <c r="BM537" s="22"/>
      <c r="BN537" s="22"/>
      <c r="BO537" s="22"/>
      <c r="BP537" s="22"/>
      <c r="BQ537" s="22"/>
      <c r="BR537" s="22"/>
      <c r="BS537" s="22"/>
    </row>
    <row r="538">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c r="BI538" s="22"/>
      <c r="BJ538" s="22"/>
      <c r="BK538" s="22"/>
      <c r="BL538" s="22"/>
      <c r="BM538" s="22"/>
      <c r="BN538" s="22"/>
      <c r="BO538" s="22"/>
      <c r="BP538" s="22"/>
      <c r="BQ538" s="22"/>
      <c r="BR538" s="22"/>
      <c r="BS538" s="22"/>
    </row>
    <row r="539">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c r="BI539" s="22"/>
      <c r="BJ539" s="22"/>
      <c r="BK539" s="22"/>
      <c r="BL539" s="22"/>
      <c r="BM539" s="22"/>
      <c r="BN539" s="22"/>
      <c r="BO539" s="22"/>
      <c r="BP539" s="22"/>
      <c r="BQ539" s="22"/>
      <c r="BR539" s="22"/>
      <c r="BS539" s="22"/>
    </row>
    <row r="540">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c r="BI540" s="22"/>
      <c r="BJ540" s="22"/>
      <c r="BK540" s="22"/>
      <c r="BL540" s="22"/>
      <c r="BM540" s="22"/>
      <c r="BN540" s="22"/>
      <c r="BO540" s="22"/>
      <c r="BP540" s="22"/>
      <c r="BQ540" s="22"/>
      <c r="BR540" s="22"/>
      <c r="BS540" s="22"/>
    </row>
    <row r="541">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c r="BI541" s="22"/>
      <c r="BJ541" s="22"/>
      <c r="BK541" s="22"/>
      <c r="BL541" s="22"/>
      <c r="BM541" s="22"/>
      <c r="BN541" s="22"/>
      <c r="BO541" s="22"/>
      <c r="BP541" s="22"/>
      <c r="BQ541" s="22"/>
      <c r="BR541" s="22"/>
      <c r="BS541" s="22"/>
    </row>
    <row r="54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c r="BM542" s="22"/>
      <c r="BN542" s="22"/>
      <c r="BO542" s="22"/>
      <c r="BP542" s="22"/>
      <c r="BQ542" s="22"/>
      <c r="BR542" s="22"/>
      <c r="BS542" s="22"/>
    </row>
    <row r="543">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c r="BI543" s="22"/>
      <c r="BJ543" s="22"/>
      <c r="BK543" s="22"/>
      <c r="BL543" s="22"/>
      <c r="BM543" s="22"/>
      <c r="BN543" s="22"/>
      <c r="BO543" s="22"/>
      <c r="BP543" s="22"/>
      <c r="BQ543" s="22"/>
      <c r="BR543" s="22"/>
      <c r="BS543" s="22"/>
    </row>
    <row r="544">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c r="BI544" s="22"/>
      <c r="BJ544" s="22"/>
      <c r="BK544" s="22"/>
      <c r="BL544" s="22"/>
      <c r="BM544" s="22"/>
      <c r="BN544" s="22"/>
      <c r="BO544" s="22"/>
      <c r="BP544" s="22"/>
      <c r="BQ544" s="22"/>
      <c r="BR544" s="22"/>
      <c r="BS544" s="22"/>
    </row>
    <row r="545">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c r="BI545" s="22"/>
      <c r="BJ545" s="22"/>
      <c r="BK545" s="22"/>
      <c r="BL545" s="22"/>
      <c r="BM545" s="22"/>
      <c r="BN545" s="22"/>
      <c r="BO545" s="22"/>
      <c r="BP545" s="22"/>
      <c r="BQ545" s="22"/>
      <c r="BR545" s="22"/>
      <c r="BS545" s="22"/>
    </row>
    <row r="546">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c r="BI546" s="22"/>
      <c r="BJ546" s="22"/>
      <c r="BK546" s="22"/>
      <c r="BL546" s="22"/>
      <c r="BM546" s="22"/>
      <c r="BN546" s="22"/>
      <c r="BO546" s="22"/>
      <c r="BP546" s="22"/>
      <c r="BQ546" s="22"/>
      <c r="BR546" s="22"/>
      <c r="BS546" s="22"/>
    </row>
    <row r="547">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c r="BI547" s="22"/>
      <c r="BJ547" s="22"/>
      <c r="BK547" s="22"/>
      <c r="BL547" s="22"/>
      <c r="BM547" s="22"/>
      <c r="BN547" s="22"/>
      <c r="BO547" s="22"/>
      <c r="BP547" s="22"/>
      <c r="BQ547" s="22"/>
      <c r="BR547" s="22"/>
      <c r="BS547" s="22"/>
    </row>
    <row r="548">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c r="BI548" s="22"/>
      <c r="BJ548" s="22"/>
      <c r="BK548" s="22"/>
      <c r="BL548" s="22"/>
      <c r="BM548" s="22"/>
      <c r="BN548" s="22"/>
      <c r="BO548" s="22"/>
      <c r="BP548" s="22"/>
      <c r="BQ548" s="22"/>
      <c r="BR548" s="22"/>
      <c r="BS548" s="22"/>
    </row>
    <row r="549">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c r="BI549" s="22"/>
      <c r="BJ549" s="22"/>
      <c r="BK549" s="22"/>
      <c r="BL549" s="22"/>
      <c r="BM549" s="22"/>
      <c r="BN549" s="22"/>
      <c r="BO549" s="22"/>
      <c r="BP549" s="22"/>
      <c r="BQ549" s="22"/>
      <c r="BR549" s="22"/>
      <c r="BS549" s="22"/>
    </row>
    <row r="550">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c r="BI550" s="22"/>
      <c r="BJ550" s="22"/>
      <c r="BK550" s="22"/>
      <c r="BL550" s="22"/>
      <c r="BM550" s="22"/>
      <c r="BN550" s="22"/>
      <c r="BO550" s="22"/>
      <c r="BP550" s="22"/>
      <c r="BQ550" s="22"/>
      <c r="BR550" s="22"/>
      <c r="BS550" s="22"/>
    </row>
    <row r="551">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c r="BI551" s="22"/>
      <c r="BJ551" s="22"/>
      <c r="BK551" s="22"/>
      <c r="BL551" s="22"/>
      <c r="BM551" s="22"/>
      <c r="BN551" s="22"/>
      <c r="BO551" s="22"/>
      <c r="BP551" s="22"/>
      <c r="BQ551" s="22"/>
      <c r="BR551" s="22"/>
      <c r="BS551" s="22"/>
    </row>
    <row r="55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c r="BI552" s="22"/>
      <c r="BJ552" s="22"/>
      <c r="BK552" s="22"/>
      <c r="BL552" s="22"/>
      <c r="BM552" s="22"/>
      <c r="BN552" s="22"/>
      <c r="BO552" s="22"/>
      <c r="BP552" s="22"/>
      <c r="BQ552" s="22"/>
      <c r="BR552" s="22"/>
      <c r="BS552" s="22"/>
    </row>
    <row r="553">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c r="BI553" s="22"/>
      <c r="BJ553" s="22"/>
      <c r="BK553" s="22"/>
      <c r="BL553" s="22"/>
      <c r="BM553" s="22"/>
      <c r="BN553" s="22"/>
      <c r="BO553" s="22"/>
      <c r="BP553" s="22"/>
      <c r="BQ553" s="22"/>
      <c r="BR553" s="22"/>
      <c r="BS553" s="22"/>
    </row>
    <row r="554">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c r="BI554" s="22"/>
      <c r="BJ554" s="22"/>
      <c r="BK554" s="22"/>
      <c r="BL554" s="22"/>
      <c r="BM554" s="22"/>
      <c r="BN554" s="22"/>
      <c r="BO554" s="22"/>
      <c r="BP554" s="22"/>
      <c r="BQ554" s="22"/>
      <c r="BR554" s="22"/>
      <c r="BS554" s="22"/>
    </row>
    <row r="555">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c r="BI555" s="22"/>
      <c r="BJ555" s="22"/>
      <c r="BK555" s="22"/>
      <c r="BL555" s="22"/>
      <c r="BM555" s="22"/>
      <c r="BN555" s="22"/>
      <c r="BO555" s="22"/>
      <c r="BP555" s="22"/>
      <c r="BQ555" s="22"/>
      <c r="BR555" s="22"/>
      <c r="BS555" s="22"/>
    </row>
    <row r="556">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c r="BI556" s="22"/>
      <c r="BJ556" s="22"/>
      <c r="BK556" s="22"/>
      <c r="BL556" s="22"/>
      <c r="BM556" s="22"/>
      <c r="BN556" s="22"/>
      <c r="BO556" s="22"/>
      <c r="BP556" s="22"/>
      <c r="BQ556" s="22"/>
      <c r="BR556" s="22"/>
      <c r="BS556" s="22"/>
    </row>
    <row r="557">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c r="BI557" s="22"/>
      <c r="BJ557" s="22"/>
      <c r="BK557" s="22"/>
      <c r="BL557" s="22"/>
      <c r="BM557" s="22"/>
      <c r="BN557" s="22"/>
      <c r="BO557" s="22"/>
      <c r="BP557" s="22"/>
      <c r="BQ557" s="22"/>
      <c r="BR557" s="22"/>
      <c r="BS557" s="22"/>
    </row>
    <row r="558">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c r="BI558" s="22"/>
      <c r="BJ558" s="22"/>
      <c r="BK558" s="22"/>
      <c r="BL558" s="22"/>
      <c r="BM558" s="22"/>
      <c r="BN558" s="22"/>
      <c r="BO558" s="22"/>
      <c r="BP558" s="22"/>
      <c r="BQ558" s="22"/>
      <c r="BR558" s="22"/>
      <c r="BS558" s="22"/>
    </row>
    <row r="559">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c r="BI559" s="22"/>
      <c r="BJ559" s="22"/>
      <c r="BK559" s="22"/>
      <c r="BL559" s="22"/>
      <c r="BM559" s="22"/>
      <c r="BN559" s="22"/>
      <c r="BO559" s="22"/>
      <c r="BP559" s="22"/>
      <c r="BQ559" s="22"/>
      <c r="BR559" s="22"/>
      <c r="BS559" s="22"/>
    </row>
    <row r="560">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c r="BI560" s="22"/>
      <c r="BJ560" s="22"/>
      <c r="BK560" s="22"/>
      <c r="BL560" s="22"/>
      <c r="BM560" s="22"/>
      <c r="BN560" s="22"/>
      <c r="BO560" s="22"/>
      <c r="BP560" s="22"/>
      <c r="BQ560" s="22"/>
      <c r="BR560" s="22"/>
      <c r="BS560" s="22"/>
    </row>
    <row r="561">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22"/>
      <c r="BF561" s="22"/>
      <c r="BG561" s="22"/>
      <c r="BH561" s="22"/>
      <c r="BI561" s="22"/>
      <c r="BJ561" s="22"/>
      <c r="BK561" s="22"/>
      <c r="BL561" s="22"/>
      <c r="BM561" s="22"/>
      <c r="BN561" s="22"/>
      <c r="BO561" s="22"/>
      <c r="BP561" s="22"/>
      <c r="BQ561" s="22"/>
      <c r="BR561" s="22"/>
      <c r="BS561" s="22"/>
    </row>
    <row r="56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c r="BI562" s="22"/>
      <c r="BJ562" s="22"/>
      <c r="BK562" s="22"/>
      <c r="BL562" s="22"/>
      <c r="BM562" s="22"/>
      <c r="BN562" s="22"/>
      <c r="BO562" s="22"/>
      <c r="BP562" s="22"/>
      <c r="BQ562" s="22"/>
      <c r="BR562" s="22"/>
      <c r="BS562" s="22"/>
    </row>
    <row r="563">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c r="BI563" s="22"/>
      <c r="BJ563" s="22"/>
      <c r="BK563" s="22"/>
      <c r="BL563" s="22"/>
      <c r="BM563" s="22"/>
      <c r="BN563" s="22"/>
      <c r="BO563" s="22"/>
      <c r="BP563" s="22"/>
      <c r="BQ563" s="22"/>
      <c r="BR563" s="22"/>
      <c r="BS563" s="22"/>
    </row>
    <row r="564">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c r="BI564" s="22"/>
      <c r="BJ564" s="22"/>
      <c r="BK564" s="22"/>
      <c r="BL564" s="22"/>
      <c r="BM564" s="22"/>
      <c r="BN564" s="22"/>
      <c r="BO564" s="22"/>
      <c r="BP564" s="22"/>
      <c r="BQ564" s="22"/>
      <c r="BR564" s="22"/>
      <c r="BS564" s="22"/>
    </row>
    <row r="565">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c r="BI565" s="22"/>
      <c r="BJ565" s="22"/>
      <c r="BK565" s="22"/>
      <c r="BL565" s="22"/>
      <c r="BM565" s="22"/>
      <c r="BN565" s="22"/>
      <c r="BO565" s="22"/>
      <c r="BP565" s="22"/>
      <c r="BQ565" s="22"/>
      <c r="BR565" s="22"/>
      <c r="BS565" s="22"/>
    </row>
    <row r="566">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22"/>
      <c r="BF566" s="22"/>
      <c r="BG566" s="22"/>
      <c r="BH566" s="22"/>
      <c r="BI566" s="22"/>
      <c r="BJ566" s="22"/>
      <c r="BK566" s="22"/>
      <c r="BL566" s="22"/>
      <c r="BM566" s="22"/>
      <c r="BN566" s="22"/>
      <c r="BO566" s="22"/>
      <c r="BP566" s="22"/>
      <c r="BQ566" s="22"/>
      <c r="BR566" s="22"/>
      <c r="BS566" s="22"/>
    </row>
    <row r="567">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c r="BI567" s="22"/>
      <c r="BJ567" s="22"/>
      <c r="BK567" s="22"/>
      <c r="BL567" s="22"/>
      <c r="BM567" s="22"/>
      <c r="BN567" s="22"/>
      <c r="BO567" s="22"/>
      <c r="BP567" s="22"/>
      <c r="BQ567" s="22"/>
      <c r="BR567" s="22"/>
      <c r="BS567" s="22"/>
    </row>
    <row r="568">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c r="BI568" s="22"/>
      <c r="BJ568" s="22"/>
      <c r="BK568" s="22"/>
      <c r="BL568" s="22"/>
      <c r="BM568" s="22"/>
      <c r="BN568" s="22"/>
      <c r="BO568" s="22"/>
      <c r="BP568" s="22"/>
      <c r="BQ568" s="22"/>
      <c r="BR568" s="22"/>
      <c r="BS568" s="22"/>
    </row>
    <row r="569">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c r="BI569" s="22"/>
      <c r="BJ569" s="22"/>
      <c r="BK569" s="22"/>
      <c r="BL569" s="22"/>
      <c r="BM569" s="22"/>
      <c r="BN569" s="22"/>
      <c r="BO569" s="22"/>
      <c r="BP569" s="22"/>
      <c r="BQ569" s="22"/>
      <c r="BR569" s="22"/>
      <c r="BS569" s="22"/>
    </row>
    <row r="570">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c r="BI570" s="22"/>
      <c r="BJ570" s="22"/>
      <c r="BK570" s="22"/>
      <c r="BL570" s="22"/>
      <c r="BM570" s="22"/>
      <c r="BN570" s="22"/>
      <c r="BO570" s="22"/>
      <c r="BP570" s="22"/>
      <c r="BQ570" s="22"/>
      <c r="BR570" s="22"/>
      <c r="BS570" s="22"/>
    </row>
    <row r="571">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22"/>
      <c r="BF571" s="22"/>
      <c r="BG571" s="22"/>
      <c r="BH571" s="22"/>
      <c r="BI571" s="22"/>
      <c r="BJ571" s="22"/>
      <c r="BK571" s="22"/>
      <c r="BL571" s="22"/>
      <c r="BM571" s="22"/>
      <c r="BN571" s="22"/>
      <c r="BO571" s="22"/>
      <c r="BP571" s="22"/>
      <c r="BQ571" s="22"/>
      <c r="BR571" s="22"/>
      <c r="BS571" s="22"/>
    </row>
    <row r="57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c r="BI572" s="22"/>
      <c r="BJ572" s="22"/>
      <c r="BK572" s="22"/>
      <c r="BL572" s="22"/>
      <c r="BM572" s="22"/>
      <c r="BN572" s="22"/>
      <c r="BO572" s="22"/>
      <c r="BP572" s="22"/>
      <c r="BQ572" s="22"/>
      <c r="BR572" s="22"/>
      <c r="BS572" s="22"/>
    </row>
    <row r="573">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c r="BI573" s="22"/>
      <c r="BJ573" s="22"/>
      <c r="BK573" s="22"/>
      <c r="BL573" s="22"/>
      <c r="BM573" s="22"/>
      <c r="BN573" s="22"/>
      <c r="BO573" s="22"/>
      <c r="BP573" s="22"/>
      <c r="BQ573" s="22"/>
      <c r="BR573" s="22"/>
      <c r="BS573" s="22"/>
    </row>
    <row r="574">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c r="BI574" s="22"/>
      <c r="BJ574" s="22"/>
      <c r="BK574" s="22"/>
      <c r="BL574" s="22"/>
      <c r="BM574" s="22"/>
      <c r="BN574" s="22"/>
      <c r="BO574" s="22"/>
      <c r="BP574" s="22"/>
      <c r="BQ574" s="22"/>
      <c r="BR574" s="22"/>
      <c r="BS574" s="22"/>
    </row>
    <row r="575">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c r="BI575" s="22"/>
      <c r="BJ575" s="22"/>
      <c r="BK575" s="22"/>
      <c r="BL575" s="22"/>
      <c r="BM575" s="22"/>
      <c r="BN575" s="22"/>
      <c r="BO575" s="22"/>
      <c r="BP575" s="22"/>
      <c r="BQ575" s="22"/>
      <c r="BR575" s="22"/>
      <c r="BS575" s="22"/>
    </row>
    <row r="576">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c r="BI576" s="22"/>
      <c r="BJ576" s="22"/>
      <c r="BK576" s="22"/>
      <c r="BL576" s="22"/>
      <c r="BM576" s="22"/>
      <c r="BN576" s="22"/>
      <c r="BO576" s="22"/>
      <c r="BP576" s="22"/>
      <c r="BQ576" s="22"/>
      <c r="BR576" s="22"/>
      <c r="BS576" s="22"/>
    </row>
    <row r="577">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c r="BI577" s="22"/>
      <c r="BJ577" s="22"/>
      <c r="BK577" s="22"/>
      <c r="BL577" s="22"/>
      <c r="BM577" s="22"/>
      <c r="BN577" s="22"/>
      <c r="BO577" s="22"/>
      <c r="BP577" s="22"/>
      <c r="BQ577" s="22"/>
      <c r="BR577" s="22"/>
      <c r="BS577" s="22"/>
    </row>
    <row r="578">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c r="BI578" s="22"/>
      <c r="BJ578" s="22"/>
      <c r="BK578" s="22"/>
      <c r="BL578" s="22"/>
      <c r="BM578" s="22"/>
      <c r="BN578" s="22"/>
      <c r="BO578" s="22"/>
      <c r="BP578" s="22"/>
      <c r="BQ578" s="22"/>
      <c r="BR578" s="22"/>
      <c r="BS578" s="22"/>
    </row>
    <row r="579">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c r="BI579" s="22"/>
      <c r="BJ579" s="22"/>
      <c r="BK579" s="22"/>
      <c r="BL579" s="22"/>
      <c r="BM579" s="22"/>
      <c r="BN579" s="22"/>
      <c r="BO579" s="22"/>
      <c r="BP579" s="22"/>
      <c r="BQ579" s="22"/>
      <c r="BR579" s="22"/>
      <c r="BS579" s="22"/>
    </row>
    <row r="580">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c r="BI580" s="22"/>
      <c r="BJ580" s="22"/>
      <c r="BK580" s="22"/>
      <c r="BL580" s="22"/>
      <c r="BM580" s="22"/>
      <c r="BN580" s="22"/>
      <c r="BO580" s="22"/>
      <c r="BP580" s="22"/>
      <c r="BQ580" s="22"/>
      <c r="BR580" s="22"/>
      <c r="BS580" s="22"/>
    </row>
    <row r="581">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c r="BI581" s="22"/>
      <c r="BJ581" s="22"/>
      <c r="BK581" s="22"/>
      <c r="BL581" s="22"/>
      <c r="BM581" s="22"/>
      <c r="BN581" s="22"/>
      <c r="BO581" s="22"/>
      <c r="BP581" s="22"/>
      <c r="BQ581" s="22"/>
      <c r="BR581" s="22"/>
      <c r="BS581" s="22"/>
    </row>
    <row r="58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22"/>
      <c r="BF582" s="22"/>
      <c r="BG582" s="22"/>
      <c r="BH582" s="22"/>
      <c r="BI582" s="22"/>
      <c r="BJ582" s="22"/>
      <c r="BK582" s="22"/>
      <c r="BL582" s="22"/>
      <c r="BM582" s="22"/>
      <c r="BN582" s="22"/>
      <c r="BO582" s="22"/>
      <c r="BP582" s="22"/>
      <c r="BQ582" s="22"/>
      <c r="BR582" s="22"/>
      <c r="BS582" s="22"/>
    </row>
    <row r="583">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c r="BI583" s="22"/>
      <c r="BJ583" s="22"/>
      <c r="BK583" s="22"/>
      <c r="BL583" s="22"/>
      <c r="BM583" s="22"/>
      <c r="BN583" s="22"/>
      <c r="BO583" s="22"/>
      <c r="BP583" s="22"/>
      <c r="BQ583" s="22"/>
      <c r="BR583" s="22"/>
      <c r="BS583" s="22"/>
    </row>
    <row r="584">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c r="BI584" s="22"/>
      <c r="BJ584" s="22"/>
      <c r="BK584" s="22"/>
      <c r="BL584" s="22"/>
      <c r="BM584" s="22"/>
      <c r="BN584" s="22"/>
      <c r="BO584" s="22"/>
      <c r="BP584" s="22"/>
      <c r="BQ584" s="22"/>
      <c r="BR584" s="22"/>
      <c r="BS584" s="22"/>
    </row>
    <row r="585">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c r="BI585" s="22"/>
      <c r="BJ585" s="22"/>
      <c r="BK585" s="22"/>
      <c r="BL585" s="22"/>
      <c r="BM585" s="22"/>
      <c r="BN585" s="22"/>
      <c r="BO585" s="22"/>
      <c r="BP585" s="22"/>
      <c r="BQ585" s="22"/>
      <c r="BR585" s="22"/>
      <c r="BS585" s="22"/>
    </row>
    <row r="586">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c r="BI586" s="22"/>
      <c r="BJ586" s="22"/>
      <c r="BK586" s="22"/>
      <c r="BL586" s="22"/>
      <c r="BM586" s="22"/>
      <c r="BN586" s="22"/>
      <c r="BO586" s="22"/>
      <c r="BP586" s="22"/>
      <c r="BQ586" s="22"/>
      <c r="BR586" s="22"/>
      <c r="BS586" s="22"/>
    </row>
    <row r="587">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c r="BI587" s="22"/>
      <c r="BJ587" s="22"/>
      <c r="BK587" s="22"/>
      <c r="BL587" s="22"/>
      <c r="BM587" s="22"/>
      <c r="BN587" s="22"/>
      <c r="BO587" s="22"/>
      <c r="BP587" s="22"/>
      <c r="BQ587" s="22"/>
      <c r="BR587" s="22"/>
      <c r="BS587" s="22"/>
    </row>
    <row r="588">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22"/>
      <c r="BF588" s="22"/>
      <c r="BG588" s="22"/>
      <c r="BH588" s="22"/>
      <c r="BI588" s="22"/>
      <c r="BJ588" s="22"/>
      <c r="BK588" s="22"/>
      <c r="BL588" s="22"/>
      <c r="BM588" s="22"/>
      <c r="BN588" s="22"/>
      <c r="BO588" s="22"/>
      <c r="BP588" s="22"/>
      <c r="BQ588" s="22"/>
      <c r="BR588" s="22"/>
      <c r="BS588" s="22"/>
    </row>
    <row r="589">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c r="BI589" s="22"/>
      <c r="BJ589" s="22"/>
      <c r="BK589" s="22"/>
      <c r="BL589" s="22"/>
      <c r="BM589" s="22"/>
      <c r="BN589" s="22"/>
      <c r="BO589" s="22"/>
      <c r="BP589" s="22"/>
      <c r="BQ589" s="22"/>
      <c r="BR589" s="22"/>
      <c r="BS589" s="22"/>
    </row>
    <row r="590">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c r="BI590" s="22"/>
      <c r="BJ590" s="22"/>
      <c r="BK590" s="22"/>
      <c r="BL590" s="22"/>
      <c r="BM590" s="22"/>
      <c r="BN590" s="22"/>
      <c r="BO590" s="22"/>
      <c r="BP590" s="22"/>
      <c r="BQ590" s="22"/>
      <c r="BR590" s="22"/>
      <c r="BS590" s="22"/>
    </row>
    <row r="591">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c r="BI591" s="22"/>
      <c r="BJ591" s="22"/>
      <c r="BK591" s="22"/>
      <c r="BL591" s="22"/>
      <c r="BM591" s="22"/>
      <c r="BN591" s="22"/>
      <c r="BO591" s="22"/>
      <c r="BP591" s="22"/>
      <c r="BQ591" s="22"/>
      <c r="BR591" s="22"/>
      <c r="BS591" s="22"/>
    </row>
    <row r="59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c r="BI592" s="22"/>
      <c r="BJ592" s="22"/>
      <c r="BK592" s="22"/>
      <c r="BL592" s="22"/>
      <c r="BM592" s="22"/>
      <c r="BN592" s="22"/>
      <c r="BO592" s="22"/>
      <c r="BP592" s="22"/>
      <c r="BQ592" s="22"/>
      <c r="BR592" s="22"/>
      <c r="BS592" s="22"/>
    </row>
    <row r="593">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c r="BM593" s="22"/>
      <c r="BN593" s="22"/>
      <c r="BO593" s="22"/>
      <c r="BP593" s="22"/>
      <c r="BQ593" s="22"/>
      <c r="BR593" s="22"/>
      <c r="BS593" s="22"/>
    </row>
    <row r="594">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c r="BI594" s="22"/>
      <c r="BJ594" s="22"/>
      <c r="BK594" s="22"/>
      <c r="BL594" s="22"/>
      <c r="BM594" s="22"/>
      <c r="BN594" s="22"/>
      <c r="BO594" s="22"/>
      <c r="BP594" s="22"/>
      <c r="BQ594" s="22"/>
      <c r="BR594" s="22"/>
      <c r="BS594" s="22"/>
    </row>
    <row r="595">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c r="BI595" s="22"/>
      <c r="BJ595" s="22"/>
      <c r="BK595" s="22"/>
      <c r="BL595" s="22"/>
      <c r="BM595" s="22"/>
      <c r="BN595" s="22"/>
      <c r="BO595" s="22"/>
      <c r="BP595" s="22"/>
      <c r="BQ595" s="22"/>
      <c r="BR595" s="22"/>
      <c r="BS595" s="22"/>
    </row>
    <row r="596">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c r="BI596" s="22"/>
      <c r="BJ596" s="22"/>
      <c r="BK596" s="22"/>
      <c r="BL596" s="22"/>
      <c r="BM596" s="22"/>
      <c r="BN596" s="22"/>
      <c r="BO596" s="22"/>
      <c r="BP596" s="22"/>
      <c r="BQ596" s="22"/>
      <c r="BR596" s="22"/>
      <c r="BS596" s="22"/>
    </row>
    <row r="597">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c r="BI597" s="22"/>
      <c r="BJ597" s="22"/>
      <c r="BK597" s="22"/>
      <c r="BL597" s="22"/>
      <c r="BM597" s="22"/>
      <c r="BN597" s="22"/>
      <c r="BO597" s="22"/>
      <c r="BP597" s="22"/>
      <c r="BQ597" s="22"/>
      <c r="BR597" s="22"/>
      <c r="BS597" s="22"/>
    </row>
    <row r="598">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c r="BI598" s="22"/>
      <c r="BJ598" s="22"/>
      <c r="BK598" s="22"/>
      <c r="BL598" s="22"/>
      <c r="BM598" s="22"/>
      <c r="BN598" s="22"/>
      <c r="BO598" s="22"/>
      <c r="BP598" s="22"/>
      <c r="BQ598" s="22"/>
      <c r="BR598" s="22"/>
      <c r="BS598" s="22"/>
    </row>
    <row r="599">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22"/>
      <c r="BF599" s="22"/>
      <c r="BG599" s="22"/>
      <c r="BH599" s="22"/>
      <c r="BI599" s="22"/>
      <c r="BJ599" s="22"/>
      <c r="BK599" s="22"/>
      <c r="BL599" s="22"/>
      <c r="BM599" s="22"/>
      <c r="BN599" s="22"/>
      <c r="BO599" s="22"/>
      <c r="BP599" s="22"/>
      <c r="BQ599" s="22"/>
      <c r="BR599" s="22"/>
      <c r="BS599" s="22"/>
    </row>
    <row r="600">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c r="BI600" s="22"/>
      <c r="BJ600" s="22"/>
      <c r="BK600" s="22"/>
      <c r="BL600" s="22"/>
      <c r="BM600" s="22"/>
      <c r="BN600" s="22"/>
      <c r="BO600" s="22"/>
      <c r="BP600" s="22"/>
      <c r="BQ600" s="22"/>
      <c r="BR600" s="22"/>
      <c r="BS600" s="22"/>
    </row>
    <row r="601">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c r="BI601" s="22"/>
      <c r="BJ601" s="22"/>
      <c r="BK601" s="22"/>
      <c r="BL601" s="22"/>
      <c r="BM601" s="22"/>
      <c r="BN601" s="22"/>
      <c r="BO601" s="22"/>
      <c r="BP601" s="22"/>
      <c r="BQ601" s="22"/>
      <c r="BR601" s="22"/>
      <c r="BS601" s="22"/>
    </row>
    <row r="60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22"/>
      <c r="BF602" s="22"/>
      <c r="BG602" s="22"/>
      <c r="BH602" s="22"/>
      <c r="BI602" s="22"/>
      <c r="BJ602" s="22"/>
      <c r="BK602" s="22"/>
      <c r="BL602" s="22"/>
      <c r="BM602" s="22"/>
      <c r="BN602" s="22"/>
      <c r="BO602" s="22"/>
      <c r="BP602" s="22"/>
      <c r="BQ602" s="22"/>
      <c r="BR602" s="22"/>
      <c r="BS602" s="22"/>
    </row>
    <row r="603">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22"/>
      <c r="BF603" s="22"/>
      <c r="BG603" s="22"/>
      <c r="BH603" s="22"/>
      <c r="BI603" s="22"/>
      <c r="BJ603" s="22"/>
      <c r="BK603" s="22"/>
      <c r="BL603" s="22"/>
      <c r="BM603" s="22"/>
      <c r="BN603" s="22"/>
      <c r="BO603" s="22"/>
      <c r="BP603" s="22"/>
      <c r="BQ603" s="22"/>
      <c r="BR603" s="22"/>
      <c r="BS603" s="22"/>
    </row>
    <row r="604">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22"/>
      <c r="BF604" s="22"/>
      <c r="BG604" s="22"/>
      <c r="BH604" s="22"/>
      <c r="BI604" s="22"/>
      <c r="BJ604" s="22"/>
      <c r="BK604" s="22"/>
      <c r="BL604" s="22"/>
      <c r="BM604" s="22"/>
      <c r="BN604" s="22"/>
      <c r="BO604" s="22"/>
      <c r="BP604" s="22"/>
      <c r="BQ604" s="22"/>
      <c r="BR604" s="22"/>
      <c r="BS604" s="22"/>
    </row>
    <row r="605">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22"/>
      <c r="BF605" s="22"/>
      <c r="BG605" s="22"/>
      <c r="BH605" s="22"/>
      <c r="BI605" s="22"/>
      <c r="BJ605" s="22"/>
      <c r="BK605" s="22"/>
      <c r="BL605" s="22"/>
      <c r="BM605" s="22"/>
      <c r="BN605" s="22"/>
      <c r="BO605" s="22"/>
      <c r="BP605" s="22"/>
      <c r="BQ605" s="22"/>
      <c r="BR605" s="22"/>
      <c r="BS605" s="22"/>
    </row>
    <row r="606">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22"/>
      <c r="BF606" s="22"/>
      <c r="BG606" s="22"/>
      <c r="BH606" s="22"/>
      <c r="BI606" s="22"/>
      <c r="BJ606" s="22"/>
      <c r="BK606" s="22"/>
      <c r="BL606" s="22"/>
      <c r="BM606" s="22"/>
      <c r="BN606" s="22"/>
      <c r="BO606" s="22"/>
      <c r="BP606" s="22"/>
      <c r="BQ606" s="22"/>
      <c r="BR606" s="22"/>
      <c r="BS606" s="22"/>
    </row>
    <row r="607">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22"/>
      <c r="BF607" s="22"/>
      <c r="BG607" s="22"/>
      <c r="BH607" s="22"/>
      <c r="BI607" s="22"/>
      <c r="BJ607" s="22"/>
      <c r="BK607" s="22"/>
      <c r="BL607" s="22"/>
      <c r="BM607" s="22"/>
      <c r="BN607" s="22"/>
      <c r="BO607" s="22"/>
      <c r="BP607" s="22"/>
      <c r="BQ607" s="22"/>
      <c r="BR607" s="22"/>
      <c r="BS607" s="22"/>
    </row>
    <row r="608">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22"/>
      <c r="BF608" s="22"/>
      <c r="BG608" s="22"/>
      <c r="BH608" s="22"/>
      <c r="BI608" s="22"/>
      <c r="BJ608" s="22"/>
      <c r="BK608" s="22"/>
      <c r="BL608" s="22"/>
      <c r="BM608" s="22"/>
      <c r="BN608" s="22"/>
      <c r="BO608" s="22"/>
      <c r="BP608" s="22"/>
      <c r="BQ608" s="22"/>
      <c r="BR608" s="22"/>
      <c r="BS608" s="22"/>
    </row>
    <row r="609">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c r="BI609" s="22"/>
      <c r="BJ609" s="22"/>
      <c r="BK609" s="22"/>
      <c r="BL609" s="22"/>
      <c r="BM609" s="22"/>
      <c r="BN609" s="22"/>
      <c r="BO609" s="22"/>
      <c r="BP609" s="22"/>
      <c r="BQ609" s="22"/>
      <c r="BR609" s="22"/>
      <c r="BS609" s="22"/>
    </row>
    <row r="610">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c r="BI610" s="22"/>
      <c r="BJ610" s="22"/>
      <c r="BK610" s="22"/>
      <c r="BL610" s="22"/>
      <c r="BM610" s="22"/>
      <c r="BN610" s="22"/>
      <c r="BO610" s="22"/>
      <c r="BP610" s="22"/>
      <c r="BQ610" s="22"/>
      <c r="BR610" s="22"/>
      <c r="BS610" s="22"/>
    </row>
    <row r="611">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c r="BI611" s="22"/>
      <c r="BJ611" s="22"/>
      <c r="BK611" s="22"/>
      <c r="BL611" s="22"/>
      <c r="BM611" s="22"/>
      <c r="BN611" s="22"/>
      <c r="BO611" s="22"/>
      <c r="BP611" s="22"/>
      <c r="BQ611" s="22"/>
      <c r="BR611" s="22"/>
      <c r="BS611" s="22"/>
    </row>
    <row r="61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c r="BI612" s="22"/>
      <c r="BJ612" s="22"/>
      <c r="BK612" s="22"/>
      <c r="BL612" s="22"/>
      <c r="BM612" s="22"/>
      <c r="BN612" s="22"/>
      <c r="BO612" s="22"/>
      <c r="BP612" s="22"/>
      <c r="BQ612" s="22"/>
      <c r="BR612" s="22"/>
      <c r="BS612" s="22"/>
    </row>
    <row r="613">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c r="BI613" s="22"/>
      <c r="BJ613" s="22"/>
      <c r="BK613" s="22"/>
      <c r="BL613" s="22"/>
      <c r="BM613" s="22"/>
      <c r="BN613" s="22"/>
      <c r="BO613" s="22"/>
      <c r="BP613" s="22"/>
      <c r="BQ613" s="22"/>
      <c r="BR613" s="22"/>
      <c r="BS613" s="22"/>
    </row>
    <row r="614">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c r="BI614" s="22"/>
      <c r="BJ614" s="22"/>
      <c r="BK614" s="22"/>
      <c r="BL614" s="22"/>
      <c r="BM614" s="22"/>
      <c r="BN614" s="22"/>
      <c r="BO614" s="22"/>
      <c r="BP614" s="22"/>
      <c r="BQ614" s="22"/>
      <c r="BR614" s="22"/>
      <c r="BS614" s="22"/>
    </row>
    <row r="615">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22"/>
      <c r="BF615" s="22"/>
      <c r="BG615" s="22"/>
      <c r="BH615" s="22"/>
      <c r="BI615" s="22"/>
      <c r="BJ615" s="22"/>
      <c r="BK615" s="22"/>
      <c r="BL615" s="22"/>
      <c r="BM615" s="22"/>
      <c r="BN615" s="22"/>
      <c r="BO615" s="22"/>
      <c r="BP615" s="22"/>
      <c r="BQ615" s="22"/>
      <c r="BR615" s="22"/>
      <c r="BS615" s="22"/>
    </row>
    <row r="616">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c r="BI616" s="22"/>
      <c r="BJ616" s="22"/>
      <c r="BK616" s="22"/>
      <c r="BL616" s="22"/>
      <c r="BM616" s="22"/>
      <c r="BN616" s="22"/>
      <c r="BO616" s="22"/>
      <c r="BP616" s="22"/>
      <c r="BQ616" s="22"/>
      <c r="BR616" s="22"/>
      <c r="BS616" s="22"/>
    </row>
    <row r="617">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c r="BI617" s="22"/>
      <c r="BJ617" s="22"/>
      <c r="BK617" s="22"/>
      <c r="BL617" s="22"/>
      <c r="BM617" s="22"/>
      <c r="BN617" s="22"/>
      <c r="BO617" s="22"/>
      <c r="BP617" s="22"/>
      <c r="BQ617" s="22"/>
      <c r="BR617" s="22"/>
      <c r="BS617" s="22"/>
    </row>
    <row r="618">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c r="BI618" s="22"/>
      <c r="BJ618" s="22"/>
      <c r="BK618" s="22"/>
      <c r="BL618" s="22"/>
      <c r="BM618" s="22"/>
      <c r="BN618" s="22"/>
      <c r="BO618" s="22"/>
      <c r="BP618" s="22"/>
      <c r="BQ618" s="22"/>
      <c r="BR618" s="22"/>
      <c r="BS618" s="22"/>
    </row>
    <row r="619">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22"/>
      <c r="BF619" s="22"/>
      <c r="BG619" s="22"/>
      <c r="BH619" s="22"/>
      <c r="BI619" s="22"/>
      <c r="BJ619" s="22"/>
      <c r="BK619" s="22"/>
      <c r="BL619" s="22"/>
      <c r="BM619" s="22"/>
      <c r="BN619" s="22"/>
      <c r="BO619" s="22"/>
      <c r="BP619" s="22"/>
      <c r="BQ619" s="22"/>
      <c r="BR619" s="22"/>
      <c r="BS619" s="22"/>
    </row>
    <row r="620">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c r="BI620" s="22"/>
      <c r="BJ620" s="22"/>
      <c r="BK620" s="22"/>
      <c r="BL620" s="22"/>
      <c r="BM620" s="22"/>
      <c r="BN620" s="22"/>
      <c r="BO620" s="22"/>
      <c r="BP620" s="22"/>
      <c r="BQ620" s="22"/>
      <c r="BR620" s="22"/>
      <c r="BS620" s="22"/>
    </row>
    <row r="621">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c r="BI621" s="22"/>
      <c r="BJ621" s="22"/>
      <c r="BK621" s="22"/>
      <c r="BL621" s="22"/>
      <c r="BM621" s="22"/>
      <c r="BN621" s="22"/>
      <c r="BO621" s="22"/>
      <c r="BP621" s="22"/>
      <c r="BQ621" s="22"/>
      <c r="BR621" s="22"/>
      <c r="BS621" s="22"/>
    </row>
    <row r="6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c r="BI622" s="22"/>
      <c r="BJ622" s="22"/>
      <c r="BK622" s="22"/>
      <c r="BL622" s="22"/>
      <c r="BM622" s="22"/>
      <c r="BN622" s="22"/>
      <c r="BO622" s="22"/>
      <c r="BP622" s="22"/>
      <c r="BQ622" s="22"/>
      <c r="BR622" s="22"/>
      <c r="BS622" s="22"/>
    </row>
    <row r="623">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c r="BI623" s="22"/>
      <c r="BJ623" s="22"/>
      <c r="BK623" s="22"/>
      <c r="BL623" s="22"/>
      <c r="BM623" s="22"/>
      <c r="BN623" s="22"/>
      <c r="BO623" s="22"/>
      <c r="BP623" s="22"/>
      <c r="BQ623" s="22"/>
      <c r="BR623" s="22"/>
      <c r="BS623" s="22"/>
    </row>
    <row r="624">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c r="BI624" s="22"/>
      <c r="BJ624" s="22"/>
      <c r="BK624" s="22"/>
      <c r="BL624" s="22"/>
      <c r="BM624" s="22"/>
      <c r="BN624" s="22"/>
      <c r="BO624" s="22"/>
      <c r="BP624" s="22"/>
      <c r="BQ624" s="22"/>
      <c r="BR624" s="22"/>
      <c r="BS624" s="22"/>
    </row>
    <row r="625">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c r="BI625" s="22"/>
      <c r="BJ625" s="22"/>
      <c r="BK625" s="22"/>
      <c r="BL625" s="22"/>
      <c r="BM625" s="22"/>
      <c r="BN625" s="22"/>
      <c r="BO625" s="22"/>
      <c r="BP625" s="22"/>
      <c r="BQ625" s="22"/>
      <c r="BR625" s="22"/>
      <c r="BS625" s="22"/>
    </row>
    <row r="626">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c r="BI626" s="22"/>
      <c r="BJ626" s="22"/>
      <c r="BK626" s="22"/>
      <c r="BL626" s="22"/>
      <c r="BM626" s="22"/>
      <c r="BN626" s="22"/>
      <c r="BO626" s="22"/>
      <c r="BP626" s="22"/>
      <c r="BQ626" s="22"/>
      <c r="BR626" s="22"/>
      <c r="BS626" s="22"/>
    </row>
    <row r="627">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c r="BI627" s="22"/>
      <c r="BJ627" s="22"/>
      <c r="BK627" s="22"/>
      <c r="BL627" s="22"/>
      <c r="BM627" s="22"/>
      <c r="BN627" s="22"/>
      <c r="BO627" s="22"/>
      <c r="BP627" s="22"/>
      <c r="BQ627" s="22"/>
      <c r="BR627" s="22"/>
      <c r="BS627" s="22"/>
    </row>
    <row r="628">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c r="BI628" s="22"/>
      <c r="BJ628" s="22"/>
      <c r="BK628" s="22"/>
      <c r="BL628" s="22"/>
      <c r="BM628" s="22"/>
      <c r="BN628" s="22"/>
      <c r="BO628" s="22"/>
      <c r="BP628" s="22"/>
      <c r="BQ628" s="22"/>
      <c r="BR628" s="22"/>
      <c r="BS628" s="22"/>
    </row>
    <row r="629">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c r="BI629" s="22"/>
      <c r="BJ629" s="22"/>
      <c r="BK629" s="22"/>
      <c r="BL629" s="22"/>
      <c r="BM629" s="22"/>
      <c r="BN629" s="22"/>
      <c r="BO629" s="22"/>
      <c r="BP629" s="22"/>
      <c r="BQ629" s="22"/>
      <c r="BR629" s="22"/>
      <c r="BS629" s="22"/>
    </row>
    <row r="630">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22"/>
      <c r="BF630" s="22"/>
      <c r="BG630" s="22"/>
      <c r="BH630" s="22"/>
      <c r="BI630" s="22"/>
      <c r="BJ630" s="22"/>
      <c r="BK630" s="22"/>
      <c r="BL630" s="22"/>
      <c r="BM630" s="22"/>
      <c r="BN630" s="22"/>
      <c r="BO630" s="22"/>
      <c r="BP630" s="22"/>
      <c r="BQ630" s="22"/>
      <c r="BR630" s="22"/>
      <c r="BS630" s="22"/>
    </row>
    <row r="631">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c r="BI631" s="22"/>
      <c r="BJ631" s="22"/>
      <c r="BK631" s="22"/>
      <c r="BL631" s="22"/>
      <c r="BM631" s="22"/>
      <c r="BN631" s="22"/>
      <c r="BO631" s="22"/>
      <c r="BP631" s="22"/>
      <c r="BQ631" s="22"/>
      <c r="BR631" s="22"/>
      <c r="BS631" s="22"/>
    </row>
    <row r="63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c r="BI632" s="22"/>
      <c r="BJ632" s="22"/>
      <c r="BK632" s="22"/>
      <c r="BL632" s="22"/>
      <c r="BM632" s="22"/>
      <c r="BN632" s="22"/>
      <c r="BO632" s="22"/>
      <c r="BP632" s="22"/>
      <c r="BQ632" s="22"/>
      <c r="BR632" s="22"/>
      <c r="BS632" s="22"/>
    </row>
    <row r="633">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c r="BI633" s="22"/>
      <c r="BJ633" s="22"/>
      <c r="BK633" s="22"/>
      <c r="BL633" s="22"/>
      <c r="BM633" s="22"/>
      <c r="BN633" s="22"/>
      <c r="BO633" s="22"/>
      <c r="BP633" s="22"/>
      <c r="BQ633" s="22"/>
      <c r="BR633" s="22"/>
      <c r="BS633" s="22"/>
    </row>
    <row r="634">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c r="BI634" s="22"/>
      <c r="BJ634" s="22"/>
      <c r="BK634" s="22"/>
      <c r="BL634" s="22"/>
      <c r="BM634" s="22"/>
      <c r="BN634" s="22"/>
      <c r="BO634" s="22"/>
      <c r="BP634" s="22"/>
      <c r="BQ634" s="22"/>
      <c r="BR634" s="22"/>
      <c r="BS634" s="22"/>
    </row>
    <row r="635">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22"/>
      <c r="BF635" s="22"/>
      <c r="BG635" s="22"/>
      <c r="BH635" s="22"/>
      <c r="BI635" s="22"/>
      <c r="BJ635" s="22"/>
      <c r="BK635" s="22"/>
      <c r="BL635" s="22"/>
      <c r="BM635" s="22"/>
      <c r="BN635" s="22"/>
      <c r="BO635" s="22"/>
      <c r="BP635" s="22"/>
      <c r="BQ635" s="22"/>
      <c r="BR635" s="22"/>
      <c r="BS635" s="22"/>
    </row>
    <row r="636">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22"/>
      <c r="BF636" s="22"/>
      <c r="BG636" s="22"/>
      <c r="BH636" s="22"/>
      <c r="BI636" s="22"/>
      <c r="BJ636" s="22"/>
      <c r="BK636" s="22"/>
      <c r="BL636" s="22"/>
      <c r="BM636" s="22"/>
      <c r="BN636" s="22"/>
      <c r="BO636" s="22"/>
      <c r="BP636" s="22"/>
      <c r="BQ636" s="22"/>
      <c r="BR636" s="22"/>
      <c r="BS636" s="22"/>
    </row>
    <row r="637">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22"/>
      <c r="BF637" s="22"/>
      <c r="BG637" s="22"/>
      <c r="BH637" s="22"/>
      <c r="BI637" s="22"/>
      <c r="BJ637" s="22"/>
      <c r="BK637" s="22"/>
      <c r="BL637" s="22"/>
      <c r="BM637" s="22"/>
      <c r="BN637" s="22"/>
      <c r="BO637" s="22"/>
      <c r="BP637" s="22"/>
      <c r="BQ637" s="22"/>
      <c r="BR637" s="22"/>
      <c r="BS637" s="22"/>
    </row>
    <row r="638">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22"/>
      <c r="BF638" s="22"/>
      <c r="BG638" s="22"/>
      <c r="BH638" s="22"/>
      <c r="BI638" s="22"/>
      <c r="BJ638" s="22"/>
      <c r="BK638" s="22"/>
      <c r="BL638" s="22"/>
      <c r="BM638" s="22"/>
      <c r="BN638" s="22"/>
      <c r="BO638" s="22"/>
      <c r="BP638" s="22"/>
      <c r="BQ638" s="22"/>
      <c r="BR638" s="22"/>
      <c r="BS638" s="22"/>
    </row>
    <row r="639">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22"/>
      <c r="BF639" s="22"/>
      <c r="BG639" s="22"/>
      <c r="BH639" s="22"/>
      <c r="BI639" s="22"/>
      <c r="BJ639" s="22"/>
      <c r="BK639" s="22"/>
      <c r="BL639" s="22"/>
      <c r="BM639" s="22"/>
      <c r="BN639" s="22"/>
      <c r="BO639" s="22"/>
      <c r="BP639" s="22"/>
      <c r="BQ639" s="22"/>
      <c r="BR639" s="22"/>
      <c r="BS639" s="22"/>
    </row>
    <row r="640">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22"/>
      <c r="BF640" s="22"/>
      <c r="BG640" s="22"/>
      <c r="BH640" s="22"/>
      <c r="BI640" s="22"/>
      <c r="BJ640" s="22"/>
      <c r="BK640" s="22"/>
      <c r="BL640" s="22"/>
      <c r="BM640" s="22"/>
      <c r="BN640" s="22"/>
      <c r="BO640" s="22"/>
      <c r="BP640" s="22"/>
      <c r="BQ640" s="22"/>
      <c r="BR640" s="22"/>
      <c r="BS640" s="22"/>
    </row>
    <row r="641">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22"/>
      <c r="BF641" s="22"/>
      <c r="BG641" s="22"/>
      <c r="BH641" s="22"/>
      <c r="BI641" s="22"/>
      <c r="BJ641" s="22"/>
      <c r="BK641" s="22"/>
      <c r="BL641" s="22"/>
      <c r="BM641" s="22"/>
      <c r="BN641" s="22"/>
      <c r="BO641" s="22"/>
      <c r="BP641" s="22"/>
      <c r="BQ641" s="22"/>
      <c r="BR641" s="22"/>
      <c r="BS641" s="22"/>
    </row>
    <row r="64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c r="BI642" s="22"/>
      <c r="BJ642" s="22"/>
      <c r="BK642" s="22"/>
      <c r="BL642" s="22"/>
      <c r="BM642" s="22"/>
      <c r="BN642" s="22"/>
      <c r="BO642" s="22"/>
      <c r="BP642" s="22"/>
      <c r="BQ642" s="22"/>
      <c r="BR642" s="22"/>
      <c r="BS642" s="22"/>
    </row>
    <row r="643">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c r="BI643" s="22"/>
      <c r="BJ643" s="22"/>
      <c r="BK643" s="22"/>
      <c r="BL643" s="22"/>
      <c r="BM643" s="22"/>
      <c r="BN643" s="22"/>
      <c r="BO643" s="22"/>
      <c r="BP643" s="22"/>
      <c r="BQ643" s="22"/>
      <c r="BR643" s="22"/>
      <c r="BS643" s="22"/>
    </row>
    <row r="644">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c r="BI644" s="22"/>
      <c r="BJ644" s="22"/>
      <c r="BK644" s="22"/>
      <c r="BL644" s="22"/>
      <c r="BM644" s="22"/>
      <c r="BN644" s="22"/>
      <c r="BO644" s="22"/>
      <c r="BP644" s="22"/>
      <c r="BQ644" s="22"/>
      <c r="BR644" s="22"/>
      <c r="BS644" s="22"/>
    </row>
    <row r="645">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c r="BI645" s="22"/>
      <c r="BJ645" s="22"/>
      <c r="BK645" s="22"/>
      <c r="BL645" s="22"/>
      <c r="BM645" s="22"/>
      <c r="BN645" s="22"/>
      <c r="BO645" s="22"/>
      <c r="BP645" s="22"/>
      <c r="BQ645" s="22"/>
      <c r="BR645" s="22"/>
      <c r="BS645" s="22"/>
    </row>
    <row r="646">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c r="BI646" s="22"/>
      <c r="BJ646" s="22"/>
      <c r="BK646" s="22"/>
      <c r="BL646" s="22"/>
      <c r="BM646" s="22"/>
      <c r="BN646" s="22"/>
      <c r="BO646" s="22"/>
      <c r="BP646" s="22"/>
      <c r="BQ646" s="22"/>
      <c r="BR646" s="22"/>
      <c r="BS646" s="22"/>
    </row>
    <row r="647">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c r="BI647" s="22"/>
      <c r="BJ647" s="22"/>
      <c r="BK647" s="22"/>
      <c r="BL647" s="22"/>
      <c r="BM647" s="22"/>
      <c r="BN647" s="22"/>
      <c r="BO647" s="22"/>
      <c r="BP647" s="22"/>
      <c r="BQ647" s="22"/>
      <c r="BR647" s="22"/>
      <c r="BS647" s="22"/>
    </row>
    <row r="648">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22"/>
      <c r="BF648" s="22"/>
      <c r="BG648" s="22"/>
      <c r="BH648" s="22"/>
      <c r="BI648" s="22"/>
      <c r="BJ648" s="22"/>
      <c r="BK648" s="22"/>
      <c r="BL648" s="22"/>
      <c r="BM648" s="22"/>
      <c r="BN648" s="22"/>
      <c r="BO648" s="22"/>
      <c r="BP648" s="22"/>
      <c r="BQ648" s="22"/>
      <c r="BR648" s="22"/>
      <c r="BS648" s="22"/>
    </row>
    <row r="649">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22"/>
      <c r="BF649" s="22"/>
      <c r="BG649" s="22"/>
      <c r="BH649" s="22"/>
      <c r="BI649" s="22"/>
      <c r="BJ649" s="22"/>
      <c r="BK649" s="22"/>
      <c r="BL649" s="22"/>
      <c r="BM649" s="22"/>
      <c r="BN649" s="22"/>
      <c r="BO649" s="22"/>
      <c r="BP649" s="22"/>
      <c r="BQ649" s="22"/>
      <c r="BR649" s="22"/>
      <c r="BS649" s="22"/>
    </row>
    <row r="650">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22"/>
      <c r="BF650" s="22"/>
      <c r="BG650" s="22"/>
      <c r="BH650" s="22"/>
      <c r="BI650" s="22"/>
      <c r="BJ650" s="22"/>
      <c r="BK650" s="22"/>
      <c r="BL650" s="22"/>
      <c r="BM650" s="22"/>
      <c r="BN650" s="22"/>
      <c r="BO650" s="22"/>
      <c r="BP650" s="22"/>
      <c r="BQ650" s="22"/>
      <c r="BR650" s="22"/>
      <c r="BS650" s="22"/>
    </row>
    <row r="651">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22"/>
      <c r="BF651" s="22"/>
      <c r="BG651" s="22"/>
      <c r="BH651" s="22"/>
      <c r="BI651" s="22"/>
      <c r="BJ651" s="22"/>
      <c r="BK651" s="22"/>
      <c r="BL651" s="22"/>
      <c r="BM651" s="22"/>
      <c r="BN651" s="22"/>
      <c r="BO651" s="22"/>
      <c r="BP651" s="22"/>
      <c r="BQ651" s="22"/>
      <c r="BR651" s="22"/>
      <c r="BS651" s="22"/>
    </row>
    <row r="65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22"/>
      <c r="BF652" s="22"/>
      <c r="BG652" s="22"/>
      <c r="BH652" s="22"/>
      <c r="BI652" s="22"/>
      <c r="BJ652" s="22"/>
      <c r="BK652" s="22"/>
      <c r="BL652" s="22"/>
      <c r="BM652" s="22"/>
      <c r="BN652" s="22"/>
      <c r="BO652" s="22"/>
      <c r="BP652" s="22"/>
      <c r="BQ652" s="22"/>
      <c r="BR652" s="22"/>
      <c r="BS652" s="22"/>
    </row>
    <row r="653">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22"/>
      <c r="BF653" s="22"/>
      <c r="BG653" s="22"/>
      <c r="BH653" s="22"/>
      <c r="BI653" s="22"/>
      <c r="BJ653" s="22"/>
      <c r="BK653" s="22"/>
      <c r="BL653" s="22"/>
      <c r="BM653" s="22"/>
      <c r="BN653" s="22"/>
      <c r="BO653" s="22"/>
      <c r="BP653" s="22"/>
      <c r="BQ653" s="22"/>
      <c r="BR653" s="22"/>
      <c r="BS653" s="22"/>
    </row>
    <row r="654">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22"/>
      <c r="BF654" s="22"/>
      <c r="BG654" s="22"/>
      <c r="BH654" s="22"/>
      <c r="BI654" s="22"/>
      <c r="BJ654" s="22"/>
      <c r="BK654" s="22"/>
      <c r="BL654" s="22"/>
      <c r="BM654" s="22"/>
      <c r="BN654" s="22"/>
      <c r="BO654" s="22"/>
      <c r="BP654" s="22"/>
      <c r="BQ654" s="22"/>
      <c r="BR654" s="22"/>
      <c r="BS654" s="22"/>
    </row>
    <row r="655">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22"/>
      <c r="BF655" s="22"/>
      <c r="BG655" s="22"/>
      <c r="BH655" s="22"/>
      <c r="BI655" s="22"/>
      <c r="BJ655" s="22"/>
      <c r="BK655" s="22"/>
      <c r="BL655" s="22"/>
      <c r="BM655" s="22"/>
      <c r="BN655" s="22"/>
      <c r="BO655" s="22"/>
      <c r="BP655" s="22"/>
      <c r="BQ655" s="22"/>
      <c r="BR655" s="22"/>
      <c r="BS655" s="22"/>
    </row>
    <row r="656">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22"/>
      <c r="BF656" s="22"/>
      <c r="BG656" s="22"/>
      <c r="BH656" s="22"/>
      <c r="BI656" s="22"/>
      <c r="BJ656" s="22"/>
      <c r="BK656" s="22"/>
      <c r="BL656" s="22"/>
      <c r="BM656" s="22"/>
      <c r="BN656" s="22"/>
      <c r="BO656" s="22"/>
      <c r="BP656" s="22"/>
      <c r="BQ656" s="22"/>
      <c r="BR656" s="22"/>
      <c r="BS656" s="22"/>
    </row>
    <row r="657">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22"/>
      <c r="BF657" s="22"/>
      <c r="BG657" s="22"/>
      <c r="BH657" s="22"/>
      <c r="BI657" s="22"/>
      <c r="BJ657" s="22"/>
      <c r="BK657" s="22"/>
      <c r="BL657" s="22"/>
      <c r="BM657" s="22"/>
      <c r="BN657" s="22"/>
      <c r="BO657" s="22"/>
      <c r="BP657" s="22"/>
      <c r="BQ657" s="22"/>
      <c r="BR657" s="22"/>
      <c r="BS657" s="22"/>
    </row>
    <row r="658">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22"/>
      <c r="BF658" s="22"/>
      <c r="BG658" s="22"/>
      <c r="BH658" s="22"/>
      <c r="BI658" s="22"/>
      <c r="BJ658" s="22"/>
      <c r="BK658" s="22"/>
      <c r="BL658" s="22"/>
      <c r="BM658" s="22"/>
      <c r="BN658" s="22"/>
      <c r="BO658" s="22"/>
      <c r="BP658" s="22"/>
      <c r="BQ658" s="22"/>
      <c r="BR658" s="22"/>
      <c r="BS658" s="22"/>
    </row>
    <row r="659">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22"/>
      <c r="BF659" s="22"/>
      <c r="BG659" s="22"/>
      <c r="BH659" s="22"/>
      <c r="BI659" s="22"/>
      <c r="BJ659" s="22"/>
      <c r="BK659" s="22"/>
      <c r="BL659" s="22"/>
      <c r="BM659" s="22"/>
      <c r="BN659" s="22"/>
      <c r="BO659" s="22"/>
      <c r="BP659" s="22"/>
      <c r="BQ659" s="22"/>
      <c r="BR659" s="22"/>
      <c r="BS659" s="22"/>
    </row>
    <row r="660">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22"/>
      <c r="BF660" s="22"/>
      <c r="BG660" s="22"/>
      <c r="BH660" s="22"/>
      <c r="BI660" s="22"/>
      <c r="BJ660" s="22"/>
      <c r="BK660" s="22"/>
      <c r="BL660" s="22"/>
      <c r="BM660" s="22"/>
      <c r="BN660" s="22"/>
      <c r="BO660" s="22"/>
      <c r="BP660" s="22"/>
      <c r="BQ660" s="22"/>
      <c r="BR660" s="22"/>
      <c r="BS660" s="22"/>
    </row>
    <row r="661">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22"/>
      <c r="BF661" s="22"/>
      <c r="BG661" s="22"/>
      <c r="BH661" s="22"/>
      <c r="BI661" s="22"/>
      <c r="BJ661" s="22"/>
      <c r="BK661" s="22"/>
      <c r="BL661" s="22"/>
      <c r="BM661" s="22"/>
      <c r="BN661" s="22"/>
      <c r="BO661" s="22"/>
      <c r="BP661" s="22"/>
      <c r="BQ661" s="22"/>
      <c r="BR661" s="22"/>
      <c r="BS661" s="22"/>
    </row>
    <row r="66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22"/>
      <c r="BF662" s="22"/>
      <c r="BG662" s="22"/>
      <c r="BH662" s="22"/>
      <c r="BI662" s="22"/>
      <c r="BJ662" s="22"/>
      <c r="BK662" s="22"/>
      <c r="BL662" s="22"/>
      <c r="BM662" s="22"/>
      <c r="BN662" s="22"/>
      <c r="BO662" s="22"/>
      <c r="BP662" s="22"/>
      <c r="BQ662" s="22"/>
      <c r="BR662" s="22"/>
      <c r="BS662" s="22"/>
    </row>
    <row r="663">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22"/>
      <c r="BF663" s="22"/>
      <c r="BG663" s="22"/>
      <c r="BH663" s="22"/>
      <c r="BI663" s="22"/>
      <c r="BJ663" s="22"/>
      <c r="BK663" s="22"/>
      <c r="BL663" s="22"/>
      <c r="BM663" s="22"/>
      <c r="BN663" s="22"/>
      <c r="BO663" s="22"/>
      <c r="BP663" s="22"/>
      <c r="BQ663" s="22"/>
      <c r="BR663" s="22"/>
      <c r="BS663" s="22"/>
    </row>
    <row r="664">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22"/>
      <c r="BF664" s="22"/>
      <c r="BG664" s="22"/>
      <c r="BH664" s="22"/>
      <c r="BI664" s="22"/>
      <c r="BJ664" s="22"/>
      <c r="BK664" s="22"/>
      <c r="BL664" s="22"/>
      <c r="BM664" s="22"/>
      <c r="BN664" s="22"/>
      <c r="BO664" s="22"/>
      <c r="BP664" s="22"/>
      <c r="BQ664" s="22"/>
      <c r="BR664" s="22"/>
      <c r="BS664" s="22"/>
    </row>
    <row r="665">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22"/>
      <c r="BF665" s="22"/>
      <c r="BG665" s="22"/>
      <c r="BH665" s="22"/>
      <c r="BI665" s="22"/>
      <c r="BJ665" s="22"/>
      <c r="BK665" s="22"/>
      <c r="BL665" s="22"/>
      <c r="BM665" s="22"/>
      <c r="BN665" s="22"/>
      <c r="BO665" s="22"/>
      <c r="BP665" s="22"/>
      <c r="BQ665" s="22"/>
      <c r="BR665" s="22"/>
      <c r="BS665" s="22"/>
    </row>
    <row r="666">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22"/>
      <c r="BF666" s="22"/>
      <c r="BG666" s="22"/>
      <c r="BH666" s="22"/>
      <c r="BI666" s="22"/>
      <c r="BJ666" s="22"/>
      <c r="BK666" s="22"/>
      <c r="BL666" s="22"/>
      <c r="BM666" s="22"/>
      <c r="BN666" s="22"/>
      <c r="BO666" s="22"/>
      <c r="BP666" s="22"/>
      <c r="BQ666" s="22"/>
      <c r="BR666" s="22"/>
      <c r="BS666" s="22"/>
    </row>
    <row r="667">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22"/>
      <c r="BF667" s="22"/>
      <c r="BG667" s="22"/>
      <c r="BH667" s="22"/>
      <c r="BI667" s="22"/>
      <c r="BJ667" s="22"/>
      <c r="BK667" s="22"/>
      <c r="BL667" s="22"/>
      <c r="BM667" s="22"/>
      <c r="BN667" s="22"/>
      <c r="BO667" s="22"/>
      <c r="BP667" s="22"/>
      <c r="BQ667" s="22"/>
      <c r="BR667" s="22"/>
      <c r="BS667" s="22"/>
    </row>
    <row r="668">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22"/>
      <c r="BF668" s="22"/>
      <c r="BG668" s="22"/>
      <c r="BH668" s="22"/>
      <c r="BI668" s="22"/>
      <c r="BJ668" s="22"/>
      <c r="BK668" s="22"/>
      <c r="BL668" s="22"/>
      <c r="BM668" s="22"/>
      <c r="BN668" s="22"/>
      <c r="BO668" s="22"/>
      <c r="BP668" s="22"/>
      <c r="BQ668" s="22"/>
      <c r="BR668" s="22"/>
      <c r="BS668" s="22"/>
    </row>
    <row r="669">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22"/>
      <c r="BF669" s="22"/>
      <c r="BG669" s="22"/>
      <c r="BH669" s="22"/>
      <c r="BI669" s="22"/>
      <c r="BJ669" s="22"/>
      <c r="BK669" s="22"/>
      <c r="BL669" s="22"/>
      <c r="BM669" s="22"/>
      <c r="BN669" s="22"/>
      <c r="BO669" s="22"/>
      <c r="BP669" s="22"/>
      <c r="BQ669" s="22"/>
      <c r="BR669" s="22"/>
      <c r="BS669" s="22"/>
    </row>
    <row r="670">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22"/>
      <c r="BF670" s="22"/>
      <c r="BG670" s="22"/>
      <c r="BH670" s="22"/>
      <c r="BI670" s="22"/>
      <c r="BJ670" s="22"/>
      <c r="BK670" s="22"/>
      <c r="BL670" s="22"/>
      <c r="BM670" s="22"/>
      <c r="BN670" s="22"/>
      <c r="BO670" s="22"/>
      <c r="BP670" s="22"/>
      <c r="BQ670" s="22"/>
      <c r="BR670" s="22"/>
      <c r="BS670" s="22"/>
    </row>
    <row r="671">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22"/>
      <c r="BF671" s="22"/>
      <c r="BG671" s="22"/>
      <c r="BH671" s="22"/>
      <c r="BI671" s="22"/>
      <c r="BJ671" s="22"/>
      <c r="BK671" s="22"/>
      <c r="BL671" s="22"/>
      <c r="BM671" s="22"/>
      <c r="BN671" s="22"/>
      <c r="BO671" s="22"/>
      <c r="BP671" s="22"/>
      <c r="BQ671" s="22"/>
      <c r="BR671" s="22"/>
      <c r="BS671" s="22"/>
    </row>
    <row r="67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22"/>
      <c r="BF672" s="22"/>
      <c r="BG672" s="22"/>
      <c r="BH672" s="22"/>
      <c r="BI672" s="22"/>
      <c r="BJ672" s="22"/>
      <c r="BK672" s="22"/>
      <c r="BL672" s="22"/>
      <c r="BM672" s="22"/>
      <c r="BN672" s="22"/>
      <c r="BO672" s="22"/>
      <c r="BP672" s="22"/>
      <c r="BQ672" s="22"/>
      <c r="BR672" s="22"/>
      <c r="BS672" s="22"/>
    </row>
    <row r="673">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22"/>
      <c r="BF673" s="22"/>
      <c r="BG673" s="22"/>
      <c r="BH673" s="22"/>
      <c r="BI673" s="22"/>
      <c r="BJ673" s="22"/>
      <c r="BK673" s="22"/>
      <c r="BL673" s="22"/>
      <c r="BM673" s="22"/>
      <c r="BN673" s="22"/>
      <c r="BO673" s="22"/>
      <c r="BP673" s="22"/>
      <c r="BQ673" s="22"/>
      <c r="BR673" s="22"/>
      <c r="BS673" s="22"/>
    </row>
    <row r="674">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22"/>
      <c r="BF674" s="22"/>
      <c r="BG674" s="22"/>
      <c r="BH674" s="22"/>
      <c r="BI674" s="22"/>
      <c r="BJ674" s="22"/>
      <c r="BK674" s="22"/>
      <c r="BL674" s="22"/>
      <c r="BM674" s="22"/>
      <c r="BN674" s="22"/>
      <c r="BO674" s="22"/>
      <c r="BP674" s="22"/>
      <c r="BQ674" s="22"/>
      <c r="BR674" s="22"/>
      <c r="BS674" s="22"/>
    </row>
    <row r="675">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22"/>
      <c r="BF675" s="22"/>
      <c r="BG675" s="22"/>
      <c r="BH675" s="22"/>
      <c r="BI675" s="22"/>
      <c r="BJ675" s="22"/>
      <c r="BK675" s="22"/>
      <c r="BL675" s="22"/>
      <c r="BM675" s="22"/>
      <c r="BN675" s="22"/>
      <c r="BO675" s="22"/>
      <c r="BP675" s="22"/>
      <c r="BQ675" s="22"/>
      <c r="BR675" s="22"/>
      <c r="BS675" s="22"/>
    </row>
    <row r="676">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22"/>
      <c r="BF676" s="22"/>
      <c r="BG676" s="22"/>
      <c r="BH676" s="22"/>
      <c r="BI676" s="22"/>
      <c r="BJ676" s="22"/>
      <c r="BK676" s="22"/>
      <c r="BL676" s="22"/>
      <c r="BM676" s="22"/>
      <c r="BN676" s="22"/>
      <c r="BO676" s="22"/>
      <c r="BP676" s="22"/>
      <c r="BQ676" s="22"/>
      <c r="BR676" s="22"/>
      <c r="BS676" s="22"/>
    </row>
    <row r="677">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22"/>
      <c r="BF677" s="22"/>
      <c r="BG677" s="22"/>
      <c r="BH677" s="22"/>
      <c r="BI677" s="22"/>
      <c r="BJ677" s="22"/>
      <c r="BK677" s="22"/>
      <c r="BL677" s="22"/>
      <c r="BM677" s="22"/>
      <c r="BN677" s="22"/>
      <c r="BO677" s="22"/>
      <c r="BP677" s="22"/>
      <c r="BQ677" s="22"/>
      <c r="BR677" s="22"/>
      <c r="BS677" s="22"/>
    </row>
    <row r="678">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22"/>
      <c r="BF678" s="22"/>
      <c r="BG678" s="22"/>
      <c r="BH678" s="22"/>
      <c r="BI678" s="22"/>
      <c r="BJ678" s="22"/>
      <c r="BK678" s="22"/>
      <c r="BL678" s="22"/>
      <c r="BM678" s="22"/>
      <c r="BN678" s="22"/>
      <c r="BO678" s="22"/>
      <c r="BP678" s="22"/>
      <c r="BQ678" s="22"/>
      <c r="BR678" s="22"/>
      <c r="BS678" s="22"/>
    </row>
    <row r="679">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22"/>
      <c r="BF679" s="22"/>
      <c r="BG679" s="22"/>
      <c r="BH679" s="22"/>
      <c r="BI679" s="22"/>
      <c r="BJ679" s="22"/>
      <c r="BK679" s="22"/>
      <c r="BL679" s="22"/>
      <c r="BM679" s="22"/>
      <c r="BN679" s="22"/>
      <c r="BO679" s="22"/>
      <c r="BP679" s="22"/>
      <c r="BQ679" s="22"/>
      <c r="BR679" s="22"/>
      <c r="BS679" s="22"/>
    </row>
    <row r="680">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22"/>
      <c r="BF680" s="22"/>
      <c r="BG680" s="22"/>
      <c r="BH680" s="22"/>
      <c r="BI680" s="22"/>
      <c r="BJ680" s="22"/>
      <c r="BK680" s="22"/>
      <c r="BL680" s="22"/>
      <c r="BM680" s="22"/>
      <c r="BN680" s="22"/>
      <c r="BO680" s="22"/>
      <c r="BP680" s="22"/>
      <c r="BQ680" s="22"/>
      <c r="BR680" s="22"/>
      <c r="BS680" s="22"/>
    </row>
    <row r="681">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22"/>
      <c r="BF681" s="22"/>
      <c r="BG681" s="22"/>
      <c r="BH681" s="22"/>
      <c r="BI681" s="22"/>
      <c r="BJ681" s="22"/>
      <c r="BK681" s="22"/>
      <c r="BL681" s="22"/>
      <c r="BM681" s="22"/>
      <c r="BN681" s="22"/>
      <c r="BO681" s="22"/>
      <c r="BP681" s="22"/>
      <c r="BQ681" s="22"/>
      <c r="BR681" s="22"/>
      <c r="BS681" s="22"/>
    </row>
    <row r="68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22"/>
      <c r="BF682" s="22"/>
      <c r="BG682" s="22"/>
      <c r="BH682" s="22"/>
      <c r="BI682" s="22"/>
      <c r="BJ682" s="22"/>
      <c r="BK682" s="22"/>
      <c r="BL682" s="22"/>
      <c r="BM682" s="22"/>
      <c r="BN682" s="22"/>
      <c r="BO682" s="22"/>
      <c r="BP682" s="22"/>
      <c r="BQ682" s="22"/>
      <c r="BR682" s="22"/>
      <c r="BS682" s="22"/>
    </row>
    <row r="683">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22"/>
      <c r="BF683" s="22"/>
      <c r="BG683" s="22"/>
      <c r="BH683" s="22"/>
      <c r="BI683" s="22"/>
      <c r="BJ683" s="22"/>
      <c r="BK683" s="22"/>
      <c r="BL683" s="22"/>
      <c r="BM683" s="22"/>
      <c r="BN683" s="22"/>
      <c r="BO683" s="22"/>
      <c r="BP683" s="22"/>
      <c r="BQ683" s="22"/>
      <c r="BR683" s="22"/>
      <c r="BS683" s="22"/>
    </row>
    <row r="684">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22"/>
      <c r="BF684" s="22"/>
      <c r="BG684" s="22"/>
      <c r="BH684" s="22"/>
      <c r="BI684" s="22"/>
      <c r="BJ684" s="22"/>
      <c r="BK684" s="22"/>
      <c r="BL684" s="22"/>
      <c r="BM684" s="22"/>
      <c r="BN684" s="22"/>
      <c r="BO684" s="22"/>
      <c r="BP684" s="22"/>
      <c r="BQ684" s="22"/>
      <c r="BR684" s="22"/>
      <c r="BS684" s="22"/>
    </row>
    <row r="685">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22"/>
      <c r="BF685" s="22"/>
      <c r="BG685" s="22"/>
      <c r="BH685" s="22"/>
      <c r="BI685" s="22"/>
      <c r="BJ685" s="22"/>
      <c r="BK685" s="22"/>
      <c r="BL685" s="22"/>
      <c r="BM685" s="22"/>
      <c r="BN685" s="22"/>
      <c r="BO685" s="22"/>
      <c r="BP685" s="22"/>
      <c r="BQ685" s="22"/>
      <c r="BR685" s="22"/>
      <c r="BS685" s="22"/>
    </row>
    <row r="686">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22"/>
      <c r="BF686" s="22"/>
      <c r="BG686" s="22"/>
      <c r="BH686" s="22"/>
      <c r="BI686" s="22"/>
      <c r="BJ686" s="22"/>
      <c r="BK686" s="22"/>
      <c r="BL686" s="22"/>
      <c r="BM686" s="22"/>
      <c r="BN686" s="22"/>
      <c r="BO686" s="22"/>
      <c r="BP686" s="22"/>
      <c r="BQ686" s="22"/>
      <c r="BR686" s="22"/>
      <c r="BS686" s="22"/>
    </row>
    <row r="687">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22"/>
      <c r="BF687" s="22"/>
      <c r="BG687" s="22"/>
      <c r="BH687" s="22"/>
      <c r="BI687" s="22"/>
      <c r="BJ687" s="22"/>
      <c r="BK687" s="22"/>
      <c r="BL687" s="22"/>
      <c r="BM687" s="22"/>
      <c r="BN687" s="22"/>
      <c r="BO687" s="22"/>
      <c r="BP687" s="22"/>
      <c r="BQ687" s="22"/>
      <c r="BR687" s="22"/>
      <c r="BS687" s="22"/>
    </row>
    <row r="688">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22"/>
      <c r="BF688" s="22"/>
      <c r="BG688" s="22"/>
      <c r="BH688" s="22"/>
      <c r="BI688" s="22"/>
      <c r="BJ688" s="22"/>
      <c r="BK688" s="22"/>
      <c r="BL688" s="22"/>
      <c r="BM688" s="22"/>
      <c r="BN688" s="22"/>
      <c r="BO688" s="22"/>
      <c r="BP688" s="22"/>
      <c r="BQ688" s="22"/>
      <c r="BR688" s="22"/>
      <c r="BS688" s="22"/>
    </row>
    <row r="689">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22"/>
      <c r="BF689" s="22"/>
      <c r="BG689" s="22"/>
      <c r="BH689" s="22"/>
      <c r="BI689" s="22"/>
      <c r="BJ689" s="22"/>
      <c r="BK689" s="22"/>
      <c r="BL689" s="22"/>
      <c r="BM689" s="22"/>
      <c r="BN689" s="22"/>
      <c r="BO689" s="22"/>
      <c r="BP689" s="22"/>
      <c r="BQ689" s="22"/>
      <c r="BR689" s="22"/>
      <c r="BS689" s="22"/>
    </row>
    <row r="690">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22"/>
      <c r="BF690" s="22"/>
      <c r="BG690" s="22"/>
      <c r="BH690" s="22"/>
      <c r="BI690" s="22"/>
      <c r="BJ690" s="22"/>
      <c r="BK690" s="22"/>
      <c r="BL690" s="22"/>
      <c r="BM690" s="22"/>
      <c r="BN690" s="22"/>
      <c r="BO690" s="22"/>
      <c r="BP690" s="22"/>
      <c r="BQ690" s="22"/>
      <c r="BR690" s="22"/>
      <c r="BS690" s="22"/>
    </row>
    <row r="691">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c r="BI691" s="22"/>
      <c r="BJ691" s="22"/>
      <c r="BK691" s="22"/>
      <c r="BL691" s="22"/>
      <c r="BM691" s="22"/>
      <c r="BN691" s="22"/>
      <c r="BO691" s="22"/>
      <c r="BP691" s="22"/>
      <c r="BQ691" s="22"/>
      <c r="BR691" s="22"/>
      <c r="BS691" s="22"/>
    </row>
    <row r="69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22"/>
      <c r="BF692" s="22"/>
      <c r="BG692" s="22"/>
      <c r="BH692" s="22"/>
      <c r="BI692" s="22"/>
      <c r="BJ692" s="22"/>
      <c r="BK692" s="22"/>
      <c r="BL692" s="22"/>
      <c r="BM692" s="22"/>
      <c r="BN692" s="22"/>
      <c r="BO692" s="22"/>
      <c r="BP692" s="22"/>
      <c r="BQ692" s="22"/>
      <c r="BR692" s="22"/>
      <c r="BS692" s="22"/>
    </row>
    <row r="693">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22"/>
      <c r="BF693" s="22"/>
      <c r="BG693" s="22"/>
      <c r="BH693" s="22"/>
      <c r="BI693" s="22"/>
      <c r="BJ693" s="22"/>
      <c r="BK693" s="22"/>
      <c r="BL693" s="22"/>
      <c r="BM693" s="22"/>
      <c r="BN693" s="22"/>
      <c r="BO693" s="22"/>
      <c r="BP693" s="22"/>
      <c r="BQ693" s="22"/>
      <c r="BR693" s="22"/>
      <c r="BS693" s="22"/>
    </row>
    <row r="694">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c r="BI694" s="22"/>
      <c r="BJ694" s="22"/>
      <c r="BK694" s="22"/>
      <c r="BL694" s="22"/>
      <c r="BM694" s="22"/>
      <c r="BN694" s="22"/>
      <c r="BO694" s="22"/>
      <c r="BP694" s="22"/>
      <c r="BQ694" s="22"/>
      <c r="BR694" s="22"/>
      <c r="BS694" s="22"/>
    </row>
    <row r="695">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c r="BI695" s="22"/>
      <c r="BJ695" s="22"/>
      <c r="BK695" s="22"/>
      <c r="BL695" s="22"/>
      <c r="BM695" s="22"/>
      <c r="BN695" s="22"/>
      <c r="BO695" s="22"/>
      <c r="BP695" s="22"/>
      <c r="BQ695" s="22"/>
      <c r="BR695" s="22"/>
      <c r="BS695" s="22"/>
    </row>
    <row r="696">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c r="BI696" s="22"/>
      <c r="BJ696" s="22"/>
      <c r="BK696" s="22"/>
      <c r="BL696" s="22"/>
      <c r="BM696" s="22"/>
      <c r="BN696" s="22"/>
      <c r="BO696" s="22"/>
      <c r="BP696" s="22"/>
      <c r="BQ696" s="22"/>
      <c r="BR696" s="22"/>
      <c r="BS696" s="22"/>
    </row>
    <row r="697">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c r="BI697" s="22"/>
      <c r="BJ697" s="22"/>
      <c r="BK697" s="22"/>
      <c r="BL697" s="22"/>
      <c r="BM697" s="22"/>
      <c r="BN697" s="22"/>
      <c r="BO697" s="22"/>
      <c r="BP697" s="22"/>
      <c r="BQ697" s="22"/>
      <c r="BR697" s="22"/>
      <c r="BS697" s="22"/>
    </row>
    <row r="698">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c r="BI698" s="22"/>
      <c r="BJ698" s="22"/>
      <c r="BK698" s="22"/>
      <c r="BL698" s="22"/>
      <c r="BM698" s="22"/>
      <c r="BN698" s="22"/>
      <c r="BO698" s="22"/>
      <c r="BP698" s="22"/>
      <c r="BQ698" s="22"/>
      <c r="BR698" s="22"/>
      <c r="BS698" s="22"/>
    </row>
    <row r="699">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c r="BI699" s="22"/>
      <c r="BJ699" s="22"/>
      <c r="BK699" s="22"/>
      <c r="BL699" s="22"/>
      <c r="BM699" s="22"/>
      <c r="BN699" s="22"/>
      <c r="BO699" s="22"/>
      <c r="BP699" s="22"/>
      <c r="BQ699" s="22"/>
      <c r="BR699" s="22"/>
      <c r="BS699" s="22"/>
    </row>
    <row r="700">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22"/>
      <c r="BF700" s="22"/>
      <c r="BG700" s="22"/>
      <c r="BH700" s="22"/>
      <c r="BI700" s="22"/>
      <c r="BJ700" s="22"/>
      <c r="BK700" s="22"/>
      <c r="BL700" s="22"/>
      <c r="BM700" s="22"/>
      <c r="BN700" s="22"/>
      <c r="BO700" s="22"/>
      <c r="BP700" s="22"/>
      <c r="BQ700" s="22"/>
      <c r="BR700" s="22"/>
      <c r="BS700" s="22"/>
    </row>
    <row r="701">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c r="BI701" s="22"/>
      <c r="BJ701" s="22"/>
      <c r="BK701" s="22"/>
      <c r="BL701" s="22"/>
      <c r="BM701" s="22"/>
      <c r="BN701" s="22"/>
      <c r="BO701" s="22"/>
      <c r="BP701" s="22"/>
      <c r="BQ701" s="22"/>
      <c r="BR701" s="22"/>
      <c r="BS701" s="22"/>
    </row>
    <row r="70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c r="BI702" s="22"/>
      <c r="BJ702" s="22"/>
      <c r="BK702" s="22"/>
      <c r="BL702" s="22"/>
      <c r="BM702" s="22"/>
      <c r="BN702" s="22"/>
      <c r="BO702" s="22"/>
      <c r="BP702" s="22"/>
      <c r="BQ702" s="22"/>
      <c r="BR702" s="22"/>
      <c r="BS702" s="22"/>
    </row>
    <row r="703">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c r="BI703" s="22"/>
      <c r="BJ703" s="22"/>
      <c r="BK703" s="22"/>
      <c r="BL703" s="22"/>
      <c r="BM703" s="22"/>
      <c r="BN703" s="22"/>
      <c r="BO703" s="22"/>
      <c r="BP703" s="22"/>
      <c r="BQ703" s="22"/>
      <c r="BR703" s="22"/>
      <c r="BS703" s="22"/>
    </row>
    <row r="704">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c r="BI704" s="22"/>
      <c r="BJ704" s="22"/>
      <c r="BK704" s="22"/>
      <c r="BL704" s="22"/>
      <c r="BM704" s="22"/>
      <c r="BN704" s="22"/>
      <c r="BO704" s="22"/>
      <c r="BP704" s="22"/>
      <c r="BQ704" s="22"/>
      <c r="BR704" s="22"/>
      <c r="BS704" s="22"/>
    </row>
    <row r="705">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c r="BI705" s="22"/>
      <c r="BJ705" s="22"/>
      <c r="BK705" s="22"/>
      <c r="BL705" s="22"/>
      <c r="BM705" s="22"/>
      <c r="BN705" s="22"/>
      <c r="BO705" s="22"/>
      <c r="BP705" s="22"/>
      <c r="BQ705" s="22"/>
      <c r="BR705" s="22"/>
      <c r="BS705" s="22"/>
    </row>
    <row r="706">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c r="BI706" s="22"/>
      <c r="BJ706" s="22"/>
      <c r="BK706" s="22"/>
      <c r="BL706" s="22"/>
      <c r="BM706" s="22"/>
      <c r="BN706" s="22"/>
      <c r="BO706" s="22"/>
      <c r="BP706" s="22"/>
      <c r="BQ706" s="22"/>
      <c r="BR706" s="22"/>
      <c r="BS706" s="22"/>
    </row>
    <row r="707">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c r="BI707" s="22"/>
      <c r="BJ707" s="22"/>
      <c r="BK707" s="22"/>
      <c r="BL707" s="22"/>
      <c r="BM707" s="22"/>
      <c r="BN707" s="22"/>
      <c r="BO707" s="22"/>
      <c r="BP707" s="22"/>
      <c r="BQ707" s="22"/>
      <c r="BR707" s="22"/>
      <c r="BS707" s="22"/>
    </row>
    <row r="708">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c r="BI708" s="22"/>
      <c r="BJ708" s="22"/>
      <c r="BK708" s="22"/>
      <c r="BL708" s="22"/>
      <c r="BM708" s="22"/>
      <c r="BN708" s="22"/>
      <c r="BO708" s="22"/>
      <c r="BP708" s="22"/>
      <c r="BQ708" s="22"/>
      <c r="BR708" s="22"/>
      <c r="BS708" s="22"/>
    </row>
    <row r="709">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c r="BI709" s="22"/>
      <c r="BJ709" s="22"/>
      <c r="BK709" s="22"/>
      <c r="BL709" s="22"/>
      <c r="BM709" s="22"/>
      <c r="BN709" s="22"/>
      <c r="BO709" s="22"/>
      <c r="BP709" s="22"/>
      <c r="BQ709" s="22"/>
      <c r="BR709" s="22"/>
      <c r="BS709" s="22"/>
    </row>
    <row r="710">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c r="BI710" s="22"/>
      <c r="BJ710" s="22"/>
      <c r="BK710" s="22"/>
      <c r="BL710" s="22"/>
      <c r="BM710" s="22"/>
      <c r="BN710" s="22"/>
      <c r="BO710" s="22"/>
      <c r="BP710" s="22"/>
      <c r="BQ710" s="22"/>
      <c r="BR710" s="22"/>
      <c r="BS710" s="22"/>
    </row>
    <row r="711">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c r="BI711" s="22"/>
      <c r="BJ711" s="22"/>
      <c r="BK711" s="22"/>
      <c r="BL711" s="22"/>
      <c r="BM711" s="22"/>
      <c r="BN711" s="22"/>
      <c r="BO711" s="22"/>
      <c r="BP711" s="22"/>
      <c r="BQ711" s="22"/>
      <c r="BR711" s="22"/>
      <c r="BS711" s="22"/>
    </row>
    <row r="71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c r="BI712" s="22"/>
      <c r="BJ712" s="22"/>
      <c r="BK712" s="22"/>
      <c r="BL712" s="22"/>
      <c r="BM712" s="22"/>
      <c r="BN712" s="22"/>
      <c r="BO712" s="22"/>
      <c r="BP712" s="22"/>
      <c r="BQ712" s="22"/>
      <c r="BR712" s="22"/>
      <c r="BS712" s="22"/>
    </row>
    <row r="713">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c r="BI713" s="22"/>
      <c r="BJ713" s="22"/>
      <c r="BK713" s="22"/>
      <c r="BL713" s="22"/>
      <c r="BM713" s="22"/>
      <c r="BN713" s="22"/>
      <c r="BO713" s="22"/>
      <c r="BP713" s="22"/>
      <c r="BQ713" s="22"/>
      <c r="BR713" s="22"/>
      <c r="BS713" s="22"/>
    </row>
    <row r="714">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c r="BI714" s="22"/>
      <c r="BJ714" s="22"/>
      <c r="BK714" s="22"/>
      <c r="BL714" s="22"/>
      <c r="BM714" s="22"/>
      <c r="BN714" s="22"/>
      <c r="BO714" s="22"/>
      <c r="BP714" s="22"/>
      <c r="BQ714" s="22"/>
      <c r="BR714" s="22"/>
      <c r="BS714" s="22"/>
    </row>
    <row r="715">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c r="BI715" s="22"/>
      <c r="BJ715" s="22"/>
      <c r="BK715" s="22"/>
      <c r="BL715" s="22"/>
      <c r="BM715" s="22"/>
      <c r="BN715" s="22"/>
      <c r="BO715" s="22"/>
      <c r="BP715" s="22"/>
      <c r="BQ715" s="22"/>
      <c r="BR715" s="22"/>
      <c r="BS715" s="22"/>
    </row>
    <row r="716">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c r="BI716" s="22"/>
      <c r="BJ716" s="22"/>
      <c r="BK716" s="22"/>
      <c r="BL716" s="22"/>
      <c r="BM716" s="22"/>
      <c r="BN716" s="22"/>
      <c r="BO716" s="22"/>
      <c r="BP716" s="22"/>
      <c r="BQ716" s="22"/>
      <c r="BR716" s="22"/>
      <c r="BS716" s="22"/>
    </row>
    <row r="717">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c r="BI717" s="22"/>
      <c r="BJ717" s="22"/>
      <c r="BK717" s="22"/>
      <c r="BL717" s="22"/>
      <c r="BM717" s="22"/>
      <c r="BN717" s="22"/>
      <c r="BO717" s="22"/>
      <c r="BP717" s="22"/>
      <c r="BQ717" s="22"/>
      <c r="BR717" s="22"/>
      <c r="BS717" s="22"/>
    </row>
    <row r="718">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c r="BM718" s="22"/>
      <c r="BN718" s="22"/>
      <c r="BO718" s="22"/>
      <c r="BP718" s="22"/>
      <c r="BQ718" s="22"/>
      <c r="BR718" s="22"/>
      <c r="BS718" s="22"/>
    </row>
    <row r="719">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c r="BI719" s="22"/>
      <c r="BJ719" s="22"/>
      <c r="BK719" s="22"/>
      <c r="BL719" s="22"/>
      <c r="BM719" s="22"/>
      <c r="BN719" s="22"/>
      <c r="BO719" s="22"/>
      <c r="BP719" s="22"/>
      <c r="BQ719" s="22"/>
      <c r="BR719" s="22"/>
      <c r="BS719" s="22"/>
    </row>
    <row r="720">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c r="BI720" s="22"/>
      <c r="BJ720" s="22"/>
      <c r="BK720" s="22"/>
      <c r="BL720" s="22"/>
      <c r="BM720" s="22"/>
      <c r="BN720" s="22"/>
      <c r="BO720" s="22"/>
      <c r="BP720" s="22"/>
      <c r="BQ720" s="22"/>
      <c r="BR720" s="22"/>
      <c r="BS720" s="22"/>
    </row>
    <row r="721">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c r="BI721" s="22"/>
      <c r="BJ721" s="22"/>
      <c r="BK721" s="22"/>
      <c r="BL721" s="22"/>
      <c r="BM721" s="22"/>
      <c r="BN721" s="22"/>
      <c r="BO721" s="22"/>
      <c r="BP721" s="22"/>
      <c r="BQ721" s="22"/>
      <c r="BR721" s="22"/>
      <c r="BS721" s="22"/>
    </row>
    <row r="7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c r="BI722" s="22"/>
      <c r="BJ722" s="22"/>
      <c r="BK722" s="22"/>
      <c r="BL722" s="22"/>
      <c r="BM722" s="22"/>
      <c r="BN722" s="22"/>
      <c r="BO722" s="22"/>
      <c r="BP722" s="22"/>
      <c r="BQ722" s="22"/>
      <c r="BR722" s="22"/>
      <c r="BS722" s="22"/>
    </row>
    <row r="723">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c r="BI723" s="22"/>
      <c r="BJ723" s="22"/>
      <c r="BK723" s="22"/>
      <c r="BL723" s="22"/>
      <c r="BM723" s="22"/>
      <c r="BN723" s="22"/>
      <c r="BO723" s="22"/>
      <c r="BP723" s="22"/>
      <c r="BQ723" s="22"/>
      <c r="BR723" s="22"/>
      <c r="BS723" s="22"/>
    </row>
    <row r="724">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c r="BI724" s="22"/>
      <c r="BJ724" s="22"/>
      <c r="BK724" s="22"/>
      <c r="BL724" s="22"/>
      <c r="BM724" s="22"/>
      <c r="BN724" s="22"/>
      <c r="BO724" s="22"/>
      <c r="BP724" s="22"/>
      <c r="BQ724" s="22"/>
      <c r="BR724" s="22"/>
      <c r="BS724" s="22"/>
    </row>
    <row r="725">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c r="BI725" s="22"/>
      <c r="BJ725" s="22"/>
      <c r="BK725" s="22"/>
      <c r="BL725" s="22"/>
      <c r="BM725" s="22"/>
      <c r="BN725" s="22"/>
      <c r="BO725" s="22"/>
      <c r="BP725" s="22"/>
      <c r="BQ725" s="22"/>
      <c r="BR725" s="22"/>
      <c r="BS725" s="22"/>
    </row>
    <row r="726">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c r="BI726" s="22"/>
      <c r="BJ726" s="22"/>
      <c r="BK726" s="22"/>
      <c r="BL726" s="22"/>
      <c r="BM726" s="22"/>
      <c r="BN726" s="22"/>
      <c r="BO726" s="22"/>
      <c r="BP726" s="22"/>
      <c r="BQ726" s="22"/>
      <c r="BR726" s="22"/>
      <c r="BS726" s="22"/>
    </row>
    <row r="727">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c r="BI727" s="22"/>
      <c r="BJ727" s="22"/>
      <c r="BK727" s="22"/>
      <c r="BL727" s="22"/>
      <c r="BM727" s="22"/>
      <c r="BN727" s="22"/>
      <c r="BO727" s="22"/>
      <c r="BP727" s="22"/>
      <c r="BQ727" s="22"/>
      <c r="BR727" s="22"/>
      <c r="BS727" s="22"/>
    </row>
    <row r="728">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c r="BI728" s="22"/>
      <c r="BJ728" s="22"/>
      <c r="BK728" s="22"/>
      <c r="BL728" s="22"/>
      <c r="BM728" s="22"/>
      <c r="BN728" s="22"/>
      <c r="BO728" s="22"/>
      <c r="BP728" s="22"/>
      <c r="BQ728" s="22"/>
      <c r="BR728" s="22"/>
      <c r="BS728" s="22"/>
    </row>
    <row r="729">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c r="BI729" s="22"/>
      <c r="BJ729" s="22"/>
      <c r="BK729" s="22"/>
      <c r="BL729" s="22"/>
      <c r="BM729" s="22"/>
      <c r="BN729" s="22"/>
      <c r="BO729" s="22"/>
      <c r="BP729" s="22"/>
      <c r="BQ729" s="22"/>
      <c r="BR729" s="22"/>
      <c r="BS729" s="22"/>
    </row>
    <row r="730">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c r="BE730" s="22"/>
      <c r="BF730" s="22"/>
      <c r="BG730" s="22"/>
      <c r="BH730" s="22"/>
      <c r="BI730" s="22"/>
      <c r="BJ730" s="22"/>
      <c r="BK730" s="22"/>
      <c r="BL730" s="22"/>
      <c r="BM730" s="22"/>
      <c r="BN730" s="22"/>
      <c r="BO730" s="22"/>
      <c r="BP730" s="22"/>
      <c r="BQ730" s="22"/>
      <c r="BR730" s="22"/>
      <c r="BS730" s="22"/>
    </row>
    <row r="731">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c r="BI731" s="22"/>
      <c r="BJ731" s="22"/>
      <c r="BK731" s="22"/>
      <c r="BL731" s="22"/>
      <c r="BM731" s="22"/>
      <c r="BN731" s="22"/>
      <c r="BO731" s="22"/>
      <c r="BP731" s="22"/>
      <c r="BQ731" s="22"/>
      <c r="BR731" s="22"/>
      <c r="BS731" s="22"/>
    </row>
    <row r="73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c r="BI732" s="22"/>
      <c r="BJ732" s="22"/>
      <c r="BK732" s="22"/>
      <c r="BL732" s="22"/>
      <c r="BM732" s="22"/>
      <c r="BN732" s="22"/>
      <c r="BO732" s="22"/>
      <c r="BP732" s="22"/>
      <c r="BQ732" s="22"/>
      <c r="BR732" s="22"/>
      <c r="BS732" s="22"/>
    </row>
    <row r="733">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c r="BI733" s="22"/>
      <c r="BJ733" s="22"/>
      <c r="BK733" s="22"/>
      <c r="BL733" s="22"/>
      <c r="BM733" s="22"/>
      <c r="BN733" s="22"/>
      <c r="BO733" s="22"/>
      <c r="BP733" s="22"/>
      <c r="BQ733" s="22"/>
      <c r="BR733" s="22"/>
      <c r="BS733" s="22"/>
    </row>
    <row r="734">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c r="BI734" s="22"/>
      <c r="BJ734" s="22"/>
      <c r="BK734" s="22"/>
      <c r="BL734" s="22"/>
      <c r="BM734" s="22"/>
      <c r="BN734" s="22"/>
      <c r="BO734" s="22"/>
      <c r="BP734" s="22"/>
      <c r="BQ734" s="22"/>
      <c r="BR734" s="22"/>
      <c r="BS734" s="22"/>
    </row>
    <row r="735">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c r="BI735" s="22"/>
      <c r="BJ735" s="22"/>
      <c r="BK735" s="22"/>
      <c r="BL735" s="22"/>
      <c r="BM735" s="22"/>
      <c r="BN735" s="22"/>
      <c r="BO735" s="22"/>
      <c r="BP735" s="22"/>
      <c r="BQ735" s="22"/>
      <c r="BR735" s="22"/>
      <c r="BS735" s="22"/>
    </row>
    <row r="736">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c r="BI736" s="22"/>
      <c r="BJ736" s="22"/>
      <c r="BK736" s="22"/>
      <c r="BL736" s="22"/>
      <c r="BM736" s="22"/>
      <c r="BN736" s="22"/>
      <c r="BO736" s="22"/>
      <c r="BP736" s="22"/>
      <c r="BQ736" s="22"/>
      <c r="BR736" s="22"/>
      <c r="BS736" s="22"/>
    </row>
    <row r="737">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2"/>
      <c r="BM737" s="22"/>
      <c r="BN737" s="22"/>
      <c r="BO737" s="22"/>
      <c r="BP737" s="22"/>
      <c r="BQ737" s="22"/>
      <c r="BR737" s="22"/>
      <c r="BS737" s="22"/>
    </row>
    <row r="738">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c r="BI738" s="22"/>
      <c r="BJ738" s="22"/>
      <c r="BK738" s="22"/>
      <c r="BL738" s="22"/>
      <c r="BM738" s="22"/>
      <c r="BN738" s="22"/>
      <c r="BO738" s="22"/>
      <c r="BP738" s="22"/>
      <c r="BQ738" s="22"/>
      <c r="BR738" s="22"/>
      <c r="BS738" s="22"/>
    </row>
    <row r="739">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c r="BI739" s="22"/>
      <c r="BJ739" s="22"/>
      <c r="BK739" s="22"/>
      <c r="BL739" s="22"/>
      <c r="BM739" s="22"/>
      <c r="BN739" s="22"/>
      <c r="BO739" s="22"/>
      <c r="BP739" s="22"/>
      <c r="BQ739" s="22"/>
      <c r="BR739" s="22"/>
      <c r="BS739" s="22"/>
    </row>
    <row r="740">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c r="BI740" s="22"/>
      <c r="BJ740" s="22"/>
      <c r="BK740" s="22"/>
      <c r="BL740" s="22"/>
      <c r="BM740" s="22"/>
      <c r="BN740" s="22"/>
      <c r="BO740" s="22"/>
      <c r="BP740" s="22"/>
      <c r="BQ740" s="22"/>
      <c r="BR740" s="22"/>
      <c r="BS740" s="22"/>
    </row>
    <row r="741">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c r="BI741" s="22"/>
      <c r="BJ741" s="22"/>
      <c r="BK741" s="22"/>
      <c r="BL741" s="22"/>
      <c r="BM741" s="22"/>
      <c r="BN741" s="22"/>
      <c r="BO741" s="22"/>
      <c r="BP741" s="22"/>
      <c r="BQ741" s="22"/>
      <c r="BR741" s="22"/>
      <c r="BS741" s="22"/>
    </row>
    <row r="74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c r="BI742" s="22"/>
      <c r="BJ742" s="22"/>
      <c r="BK742" s="22"/>
      <c r="BL742" s="22"/>
      <c r="BM742" s="22"/>
      <c r="BN742" s="22"/>
      <c r="BO742" s="22"/>
      <c r="BP742" s="22"/>
      <c r="BQ742" s="22"/>
      <c r="BR742" s="22"/>
      <c r="BS742" s="22"/>
    </row>
    <row r="743">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c r="BI743" s="22"/>
      <c r="BJ743" s="22"/>
      <c r="BK743" s="22"/>
      <c r="BL743" s="22"/>
      <c r="BM743" s="22"/>
      <c r="BN743" s="22"/>
      <c r="BO743" s="22"/>
      <c r="BP743" s="22"/>
      <c r="BQ743" s="22"/>
      <c r="BR743" s="22"/>
      <c r="BS743" s="22"/>
    </row>
    <row r="744">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c r="BI744" s="22"/>
      <c r="BJ744" s="22"/>
      <c r="BK744" s="22"/>
      <c r="BL744" s="22"/>
      <c r="BM744" s="22"/>
      <c r="BN744" s="22"/>
      <c r="BO744" s="22"/>
      <c r="BP744" s="22"/>
      <c r="BQ744" s="22"/>
      <c r="BR744" s="22"/>
      <c r="BS744" s="22"/>
    </row>
    <row r="745">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c r="BI745" s="22"/>
      <c r="BJ745" s="22"/>
      <c r="BK745" s="22"/>
      <c r="BL745" s="22"/>
      <c r="BM745" s="22"/>
      <c r="BN745" s="22"/>
      <c r="BO745" s="22"/>
      <c r="BP745" s="22"/>
      <c r="BQ745" s="22"/>
      <c r="BR745" s="22"/>
      <c r="BS745" s="22"/>
    </row>
    <row r="746">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c r="BI746" s="22"/>
      <c r="BJ746" s="22"/>
      <c r="BK746" s="22"/>
      <c r="BL746" s="22"/>
      <c r="BM746" s="22"/>
      <c r="BN746" s="22"/>
      <c r="BO746" s="22"/>
      <c r="BP746" s="22"/>
      <c r="BQ746" s="22"/>
      <c r="BR746" s="22"/>
      <c r="BS746" s="22"/>
    </row>
    <row r="747">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c r="BI747" s="22"/>
      <c r="BJ747" s="22"/>
      <c r="BK747" s="22"/>
      <c r="BL747" s="22"/>
      <c r="BM747" s="22"/>
      <c r="BN747" s="22"/>
      <c r="BO747" s="22"/>
      <c r="BP747" s="22"/>
      <c r="BQ747" s="22"/>
      <c r="BR747" s="22"/>
      <c r="BS747" s="22"/>
    </row>
    <row r="748">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c r="BI748" s="22"/>
      <c r="BJ748" s="22"/>
      <c r="BK748" s="22"/>
      <c r="BL748" s="22"/>
      <c r="BM748" s="22"/>
      <c r="BN748" s="22"/>
      <c r="BO748" s="22"/>
      <c r="BP748" s="22"/>
      <c r="BQ748" s="22"/>
      <c r="BR748" s="22"/>
      <c r="BS748" s="22"/>
    </row>
    <row r="749">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c r="BI749" s="22"/>
      <c r="BJ749" s="22"/>
      <c r="BK749" s="22"/>
      <c r="BL749" s="22"/>
      <c r="BM749" s="22"/>
      <c r="BN749" s="22"/>
      <c r="BO749" s="22"/>
      <c r="BP749" s="22"/>
      <c r="BQ749" s="22"/>
      <c r="BR749" s="22"/>
      <c r="BS749" s="22"/>
    </row>
    <row r="750">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c r="BI750" s="22"/>
      <c r="BJ750" s="22"/>
      <c r="BK750" s="22"/>
      <c r="BL750" s="22"/>
      <c r="BM750" s="22"/>
      <c r="BN750" s="22"/>
      <c r="BO750" s="22"/>
      <c r="BP750" s="22"/>
      <c r="BQ750" s="22"/>
      <c r="BR750" s="22"/>
      <c r="BS750" s="22"/>
    </row>
    <row r="751">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c r="BI751" s="22"/>
      <c r="BJ751" s="22"/>
      <c r="BK751" s="22"/>
      <c r="BL751" s="22"/>
      <c r="BM751" s="22"/>
      <c r="BN751" s="22"/>
      <c r="BO751" s="22"/>
      <c r="BP751" s="22"/>
      <c r="BQ751" s="22"/>
      <c r="BR751" s="22"/>
      <c r="BS751" s="22"/>
    </row>
    <row r="75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c r="BI752" s="22"/>
      <c r="BJ752" s="22"/>
      <c r="BK752" s="22"/>
      <c r="BL752" s="22"/>
      <c r="BM752" s="22"/>
      <c r="BN752" s="22"/>
      <c r="BO752" s="22"/>
      <c r="BP752" s="22"/>
      <c r="BQ752" s="22"/>
      <c r="BR752" s="22"/>
      <c r="BS752" s="22"/>
    </row>
    <row r="753">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c r="BI753" s="22"/>
      <c r="BJ753" s="22"/>
      <c r="BK753" s="22"/>
      <c r="BL753" s="22"/>
      <c r="BM753" s="22"/>
      <c r="BN753" s="22"/>
      <c r="BO753" s="22"/>
      <c r="BP753" s="22"/>
      <c r="BQ753" s="22"/>
      <c r="BR753" s="22"/>
      <c r="BS753" s="22"/>
    </row>
    <row r="754">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22"/>
      <c r="BF754" s="22"/>
      <c r="BG754" s="22"/>
      <c r="BH754" s="22"/>
      <c r="BI754" s="22"/>
      <c r="BJ754" s="22"/>
      <c r="BK754" s="22"/>
      <c r="BL754" s="22"/>
      <c r="BM754" s="22"/>
      <c r="BN754" s="22"/>
      <c r="BO754" s="22"/>
      <c r="BP754" s="22"/>
      <c r="BQ754" s="22"/>
      <c r="BR754" s="22"/>
      <c r="BS754" s="22"/>
    </row>
    <row r="755">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22"/>
      <c r="BF755" s="22"/>
      <c r="BG755" s="22"/>
      <c r="BH755" s="22"/>
      <c r="BI755" s="22"/>
      <c r="BJ755" s="22"/>
      <c r="BK755" s="22"/>
      <c r="BL755" s="22"/>
      <c r="BM755" s="22"/>
      <c r="BN755" s="22"/>
      <c r="BO755" s="22"/>
      <c r="BP755" s="22"/>
      <c r="BQ755" s="22"/>
      <c r="BR755" s="22"/>
      <c r="BS755" s="22"/>
    </row>
    <row r="756">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22"/>
      <c r="BF756" s="22"/>
      <c r="BG756" s="22"/>
      <c r="BH756" s="22"/>
      <c r="BI756" s="22"/>
      <c r="BJ756" s="22"/>
      <c r="BK756" s="22"/>
      <c r="BL756" s="22"/>
      <c r="BM756" s="22"/>
      <c r="BN756" s="22"/>
      <c r="BO756" s="22"/>
      <c r="BP756" s="22"/>
      <c r="BQ756" s="22"/>
      <c r="BR756" s="22"/>
      <c r="BS756" s="22"/>
    </row>
    <row r="757">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c r="BI757" s="22"/>
      <c r="BJ757" s="22"/>
      <c r="BK757" s="22"/>
      <c r="BL757" s="22"/>
      <c r="BM757" s="22"/>
      <c r="BN757" s="22"/>
      <c r="BO757" s="22"/>
      <c r="BP757" s="22"/>
      <c r="BQ757" s="22"/>
      <c r="BR757" s="22"/>
      <c r="BS757" s="22"/>
    </row>
    <row r="758">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c r="BI758" s="22"/>
      <c r="BJ758" s="22"/>
      <c r="BK758" s="22"/>
      <c r="BL758" s="22"/>
      <c r="BM758" s="22"/>
      <c r="BN758" s="22"/>
      <c r="BO758" s="22"/>
      <c r="BP758" s="22"/>
      <c r="BQ758" s="22"/>
      <c r="BR758" s="22"/>
      <c r="BS758" s="22"/>
    </row>
    <row r="759">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c r="BI759" s="22"/>
      <c r="BJ759" s="22"/>
      <c r="BK759" s="22"/>
      <c r="BL759" s="22"/>
      <c r="BM759" s="22"/>
      <c r="BN759" s="22"/>
      <c r="BO759" s="22"/>
      <c r="BP759" s="22"/>
      <c r="BQ759" s="22"/>
      <c r="BR759" s="22"/>
      <c r="BS759" s="22"/>
    </row>
    <row r="760">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c r="BI760" s="22"/>
      <c r="BJ760" s="22"/>
      <c r="BK760" s="22"/>
      <c r="BL760" s="22"/>
      <c r="BM760" s="22"/>
      <c r="BN760" s="22"/>
      <c r="BO760" s="22"/>
      <c r="BP760" s="22"/>
      <c r="BQ760" s="22"/>
      <c r="BR760" s="22"/>
      <c r="BS760" s="22"/>
    </row>
    <row r="761">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c r="BI761" s="22"/>
      <c r="BJ761" s="22"/>
      <c r="BK761" s="22"/>
      <c r="BL761" s="22"/>
      <c r="BM761" s="22"/>
      <c r="BN761" s="22"/>
      <c r="BO761" s="22"/>
      <c r="BP761" s="22"/>
      <c r="BQ761" s="22"/>
      <c r="BR761" s="22"/>
      <c r="BS761" s="22"/>
    </row>
    <row r="76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c r="BI762" s="22"/>
      <c r="BJ762" s="22"/>
      <c r="BK762" s="22"/>
      <c r="BL762" s="22"/>
      <c r="BM762" s="22"/>
      <c r="BN762" s="22"/>
      <c r="BO762" s="22"/>
      <c r="BP762" s="22"/>
      <c r="BQ762" s="22"/>
      <c r="BR762" s="22"/>
      <c r="BS762" s="22"/>
    </row>
    <row r="763">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c r="BI763" s="22"/>
      <c r="BJ763" s="22"/>
      <c r="BK763" s="22"/>
      <c r="BL763" s="22"/>
      <c r="BM763" s="22"/>
      <c r="BN763" s="22"/>
      <c r="BO763" s="22"/>
      <c r="BP763" s="22"/>
      <c r="BQ763" s="22"/>
      <c r="BR763" s="22"/>
      <c r="BS763" s="22"/>
    </row>
    <row r="764">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c r="BI764" s="22"/>
      <c r="BJ764" s="22"/>
      <c r="BK764" s="22"/>
      <c r="BL764" s="22"/>
      <c r="BM764" s="22"/>
      <c r="BN764" s="22"/>
      <c r="BO764" s="22"/>
      <c r="BP764" s="22"/>
      <c r="BQ764" s="22"/>
      <c r="BR764" s="22"/>
      <c r="BS764" s="22"/>
    </row>
    <row r="765">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c r="BI765" s="22"/>
      <c r="BJ765" s="22"/>
      <c r="BK765" s="22"/>
      <c r="BL765" s="22"/>
      <c r="BM765" s="22"/>
      <c r="BN765" s="22"/>
      <c r="BO765" s="22"/>
      <c r="BP765" s="22"/>
      <c r="BQ765" s="22"/>
      <c r="BR765" s="22"/>
      <c r="BS765" s="22"/>
    </row>
    <row r="766">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c r="BI766" s="22"/>
      <c r="BJ766" s="22"/>
      <c r="BK766" s="22"/>
      <c r="BL766" s="22"/>
      <c r="BM766" s="22"/>
      <c r="BN766" s="22"/>
      <c r="BO766" s="22"/>
      <c r="BP766" s="22"/>
      <c r="BQ766" s="22"/>
      <c r="BR766" s="22"/>
      <c r="BS766" s="22"/>
    </row>
    <row r="767">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c r="BI767" s="22"/>
      <c r="BJ767" s="22"/>
      <c r="BK767" s="22"/>
      <c r="BL767" s="22"/>
      <c r="BM767" s="22"/>
      <c r="BN767" s="22"/>
      <c r="BO767" s="22"/>
      <c r="BP767" s="22"/>
      <c r="BQ767" s="22"/>
      <c r="BR767" s="22"/>
      <c r="BS767" s="22"/>
    </row>
    <row r="768">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c r="BI768" s="22"/>
      <c r="BJ768" s="22"/>
      <c r="BK768" s="22"/>
      <c r="BL768" s="22"/>
      <c r="BM768" s="22"/>
      <c r="BN768" s="22"/>
      <c r="BO768" s="22"/>
      <c r="BP768" s="22"/>
      <c r="BQ768" s="22"/>
      <c r="BR768" s="22"/>
      <c r="BS768" s="22"/>
    </row>
    <row r="769">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c r="BI769" s="22"/>
      <c r="BJ769" s="22"/>
      <c r="BK769" s="22"/>
      <c r="BL769" s="22"/>
      <c r="BM769" s="22"/>
      <c r="BN769" s="22"/>
      <c r="BO769" s="22"/>
      <c r="BP769" s="22"/>
      <c r="BQ769" s="22"/>
      <c r="BR769" s="22"/>
      <c r="BS769" s="22"/>
    </row>
    <row r="770">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c r="BI770" s="22"/>
      <c r="BJ770" s="22"/>
      <c r="BK770" s="22"/>
      <c r="BL770" s="22"/>
      <c r="BM770" s="22"/>
      <c r="BN770" s="22"/>
      <c r="BO770" s="22"/>
      <c r="BP770" s="22"/>
      <c r="BQ770" s="22"/>
      <c r="BR770" s="22"/>
      <c r="BS770" s="22"/>
    </row>
    <row r="771">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c r="BI771" s="22"/>
      <c r="BJ771" s="22"/>
      <c r="BK771" s="22"/>
      <c r="BL771" s="22"/>
      <c r="BM771" s="22"/>
      <c r="BN771" s="22"/>
      <c r="BO771" s="22"/>
      <c r="BP771" s="22"/>
      <c r="BQ771" s="22"/>
      <c r="BR771" s="22"/>
      <c r="BS771" s="22"/>
    </row>
    <row r="77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c r="BI772" s="22"/>
      <c r="BJ772" s="22"/>
      <c r="BK772" s="22"/>
      <c r="BL772" s="22"/>
      <c r="BM772" s="22"/>
      <c r="BN772" s="22"/>
      <c r="BO772" s="22"/>
      <c r="BP772" s="22"/>
      <c r="BQ772" s="22"/>
      <c r="BR772" s="22"/>
      <c r="BS772" s="22"/>
    </row>
    <row r="773">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c r="BI773" s="22"/>
      <c r="BJ773" s="22"/>
      <c r="BK773" s="22"/>
      <c r="BL773" s="22"/>
      <c r="BM773" s="22"/>
      <c r="BN773" s="22"/>
      <c r="BO773" s="22"/>
      <c r="BP773" s="22"/>
      <c r="BQ773" s="22"/>
      <c r="BR773" s="22"/>
      <c r="BS773" s="22"/>
    </row>
    <row r="774">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c r="BI774" s="22"/>
      <c r="BJ774" s="22"/>
      <c r="BK774" s="22"/>
      <c r="BL774" s="22"/>
      <c r="BM774" s="22"/>
      <c r="BN774" s="22"/>
      <c r="BO774" s="22"/>
      <c r="BP774" s="22"/>
      <c r="BQ774" s="22"/>
      <c r="BR774" s="22"/>
      <c r="BS774" s="22"/>
    </row>
    <row r="775">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c r="BI775" s="22"/>
      <c r="BJ775" s="22"/>
      <c r="BK775" s="22"/>
      <c r="BL775" s="22"/>
      <c r="BM775" s="22"/>
      <c r="BN775" s="22"/>
      <c r="BO775" s="22"/>
      <c r="BP775" s="22"/>
      <c r="BQ775" s="22"/>
      <c r="BR775" s="22"/>
      <c r="BS775" s="22"/>
    </row>
    <row r="776">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c r="BI776" s="22"/>
      <c r="BJ776" s="22"/>
      <c r="BK776" s="22"/>
      <c r="BL776" s="22"/>
      <c r="BM776" s="22"/>
      <c r="BN776" s="22"/>
      <c r="BO776" s="22"/>
      <c r="BP776" s="22"/>
      <c r="BQ776" s="22"/>
      <c r="BR776" s="22"/>
      <c r="BS776" s="22"/>
    </row>
    <row r="777">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c r="BM777" s="22"/>
      <c r="BN777" s="22"/>
      <c r="BO777" s="22"/>
      <c r="BP777" s="22"/>
      <c r="BQ777" s="22"/>
      <c r="BR777" s="22"/>
      <c r="BS777" s="22"/>
    </row>
    <row r="778">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c r="BI778" s="22"/>
      <c r="BJ778" s="22"/>
      <c r="BK778" s="22"/>
      <c r="BL778" s="22"/>
      <c r="BM778" s="22"/>
      <c r="BN778" s="22"/>
      <c r="BO778" s="22"/>
      <c r="BP778" s="22"/>
      <c r="BQ778" s="22"/>
      <c r="BR778" s="22"/>
      <c r="BS778" s="22"/>
    </row>
    <row r="779">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row>
    <row r="780">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row>
    <row r="781">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c r="BI781" s="22"/>
      <c r="BJ781" s="22"/>
      <c r="BK781" s="22"/>
      <c r="BL781" s="22"/>
      <c r="BM781" s="22"/>
      <c r="BN781" s="22"/>
      <c r="BO781" s="22"/>
      <c r="BP781" s="22"/>
      <c r="BQ781" s="22"/>
      <c r="BR781" s="22"/>
      <c r="BS781" s="22"/>
    </row>
    <row r="78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c r="BM782" s="22"/>
      <c r="BN782" s="22"/>
      <c r="BO782" s="22"/>
      <c r="BP782" s="22"/>
      <c r="BQ782" s="22"/>
      <c r="BR782" s="22"/>
      <c r="BS782" s="22"/>
    </row>
    <row r="783">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c r="BI783" s="22"/>
      <c r="BJ783" s="22"/>
      <c r="BK783" s="22"/>
      <c r="BL783" s="22"/>
      <c r="BM783" s="22"/>
      <c r="BN783" s="22"/>
      <c r="BO783" s="22"/>
      <c r="BP783" s="22"/>
      <c r="BQ783" s="22"/>
      <c r="BR783" s="22"/>
      <c r="BS783" s="22"/>
    </row>
    <row r="784">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c r="BM784" s="22"/>
      <c r="BN784" s="22"/>
      <c r="BO784" s="22"/>
      <c r="BP784" s="22"/>
      <c r="BQ784" s="22"/>
      <c r="BR784" s="22"/>
      <c r="BS784" s="22"/>
    </row>
    <row r="785">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c r="BI785" s="22"/>
      <c r="BJ785" s="22"/>
      <c r="BK785" s="22"/>
      <c r="BL785" s="22"/>
      <c r="BM785" s="22"/>
      <c r="BN785" s="22"/>
      <c r="BO785" s="22"/>
      <c r="BP785" s="22"/>
      <c r="BQ785" s="22"/>
      <c r="BR785" s="22"/>
      <c r="BS785" s="22"/>
    </row>
    <row r="786">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c r="BI786" s="22"/>
      <c r="BJ786" s="22"/>
      <c r="BK786" s="22"/>
      <c r="BL786" s="22"/>
      <c r="BM786" s="22"/>
      <c r="BN786" s="22"/>
      <c r="BO786" s="22"/>
      <c r="BP786" s="22"/>
      <c r="BQ786" s="22"/>
      <c r="BR786" s="22"/>
      <c r="BS786" s="22"/>
    </row>
    <row r="787">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c r="BI787" s="22"/>
      <c r="BJ787" s="22"/>
      <c r="BK787" s="22"/>
      <c r="BL787" s="22"/>
      <c r="BM787" s="22"/>
      <c r="BN787" s="22"/>
      <c r="BO787" s="22"/>
      <c r="BP787" s="22"/>
      <c r="BQ787" s="22"/>
      <c r="BR787" s="22"/>
      <c r="BS787" s="22"/>
    </row>
    <row r="788">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c r="BI788" s="22"/>
      <c r="BJ788" s="22"/>
      <c r="BK788" s="22"/>
      <c r="BL788" s="22"/>
      <c r="BM788" s="22"/>
      <c r="BN788" s="22"/>
      <c r="BO788" s="22"/>
      <c r="BP788" s="22"/>
      <c r="BQ788" s="22"/>
      <c r="BR788" s="22"/>
      <c r="BS788" s="22"/>
    </row>
    <row r="789">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c r="BI789" s="22"/>
      <c r="BJ789" s="22"/>
      <c r="BK789" s="22"/>
      <c r="BL789" s="22"/>
      <c r="BM789" s="22"/>
      <c r="BN789" s="22"/>
      <c r="BO789" s="22"/>
      <c r="BP789" s="22"/>
      <c r="BQ789" s="22"/>
      <c r="BR789" s="22"/>
      <c r="BS789" s="22"/>
    </row>
    <row r="790">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c r="BI790" s="22"/>
      <c r="BJ790" s="22"/>
      <c r="BK790" s="22"/>
      <c r="BL790" s="22"/>
      <c r="BM790" s="22"/>
      <c r="BN790" s="22"/>
      <c r="BO790" s="22"/>
      <c r="BP790" s="22"/>
      <c r="BQ790" s="22"/>
      <c r="BR790" s="22"/>
      <c r="BS790" s="22"/>
    </row>
    <row r="791">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c r="BI791" s="22"/>
      <c r="BJ791" s="22"/>
      <c r="BK791" s="22"/>
      <c r="BL791" s="22"/>
      <c r="BM791" s="22"/>
      <c r="BN791" s="22"/>
      <c r="BO791" s="22"/>
      <c r="BP791" s="22"/>
      <c r="BQ791" s="22"/>
      <c r="BR791" s="22"/>
      <c r="BS791" s="22"/>
    </row>
    <row r="79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c r="BI792" s="22"/>
      <c r="BJ792" s="22"/>
      <c r="BK792" s="22"/>
      <c r="BL792" s="22"/>
      <c r="BM792" s="22"/>
      <c r="BN792" s="22"/>
      <c r="BO792" s="22"/>
      <c r="BP792" s="22"/>
      <c r="BQ792" s="22"/>
      <c r="BR792" s="22"/>
      <c r="BS792" s="22"/>
    </row>
    <row r="793">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c r="BI793" s="22"/>
      <c r="BJ793" s="22"/>
      <c r="BK793" s="22"/>
      <c r="BL793" s="22"/>
      <c r="BM793" s="22"/>
      <c r="BN793" s="22"/>
      <c r="BO793" s="22"/>
      <c r="BP793" s="22"/>
      <c r="BQ793" s="22"/>
      <c r="BR793" s="22"/>
      <c r="BS793" s="22"/>
    </row>
    <row r="794">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c r="BI794" s="22"/>
      <c r="BJ794" s="22"/>
      <c r="BK794" s="22"/>
      <c r="BL794" s="22"/>
      <c r="BM794" s="22"/>
      <c r="BN794" s="22"/>
      <c r="BO794" s="22"/>
      <c r="BP794" s="22"/>
      <c r="BQ794" s="22"/>
      <c r="BR794" s="22"/>
      <c r="BS794" s="22"/>
    </row>
    <row r="795">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c r="BI795" s="22"/>
      <c r="BJ795" s="22"/>
      <c r="BK795" s="22"/>
      <c r="BL795" s="22"/>
      <c r="BM795" s="22"/>
      <c r="BN795" s="22"/>
      <c r="BO795" s="22"/>
      <c r="BP795" s="22"/>
      <c r="BQ795" s="22"/>
      <c r="BR795" s="22"/>
      <c r="BS795" s="22"/>
    </row>
    <row r="796">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c r="BI796" s="22"/>
      <c r="BJ796" s="22"/>
      <c r="BK796" s="22"/>
      <c r="BL796" s="22"/>
      <c r="BM796" s="22"/>
      <c r="BN796" s="22"/>
      <c r="BO796" s="22"/>
      <c r="BP796" s="22"/>
      <c r="BQ796" s="22"/>
      <c r="BR796" s="22"/>
      <c r="BS796" s="22"/>
    </row>
    <row r="797">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c r="BI797" s="22"/>
      <c r="BJ797" s="22"/>
      <c r="BK797" s="22"/>
      <c r="BL797" s="22"/>
      <c r="BM797" s="22"/>
      <c r="BN797" s="22"/>
      <c r="BO797" s="22"/>
      <c r="BP797" s="22"/>
      <c r="BQ797" s="22"/>
      <c r="BR797" s="22"/>
      <c r="BS797" s="22"/>
    </row>
    <row r="798">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22"/>
      <c r="BF798" s="22"/>
      <c r="BG798" s="22"/>
      <c r="BH798" s="22"/>
      <c r="BI798" s="22"/>
      <c r="BJ798" s="22"/>
      <c r="BK798" s="22"/>
      <c r="BL798" s="22"/>
      <c r="BM798" s="22"/>
      <c r="BN798" s="22"/>
      <c r="BO798" s="22"/>
      <c r="BP798" s="22"/>
      <c r="BQ798" s="22"/>
      <c r="BR798" s="22"/>
      <c r="BS798" s="22"/>
    </row>
    <row r="799">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22"/>
      <c r="BF799" s="22"/>
      <c r="BG799" s="22"/>
      <c r="BH799" s="22"/>
      <c r="BI799" s="22"/>
      <c r="BJ799" s="22"/>
      <c r="BK799" s="22"/>
      <c r="BL799" s="22"/>
      <c r="BM799" s="22"/>
      <c r="BN799" s="22"/>
      <c r="BO799" s="22"/>
      <c r="BP799" s="22"/>
      <c r="BQ799" s="22"/>
      <c r="BR799" s="22"/>
      <c r="BS799" s="22"/>
    </row>
    <row r="800">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22"/>
      <c r="BF800" s="22"/>
      <c r="BG800" s="22"/>
      <c r="BH800" s="22"/>
      <c r="BI800" s="22"/>
      <c r="BJ800" s="22"/>
      <c r="BK800" s="22"/>
      <c r="BL800" s="22"/>
      <c r="BM800" s="22"/>
      <c r="BN800" s="22"/>
      <c r="BO800" s="22"/>
      <c r="BP800" s="22"/>
      <c r="BQ800" s="22"/>
      <c r="BR800" s="22"/>
      <c r="BS800" s="22"/>
    </row>
    <row r="801">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c r="BI801" s="22"/>
      <c r="BJ801" s="22"/>
      <c r="BK801" s="22"/>
      <c r="BL801" s="22"/>
      <c r="BM801" s="22"/>
      <c r="BN801" s="22"/>
      <c r="BO801" s="22"/>
      <c r="BP801" s="22"/>
      <c r="BQ801" s="22"/>
      <c r="BR801" s="22"/>
      <c r="BS801" s="22"/>
    </row>
    <row r="80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22"/>
      <c r="BF802" s="22"/>
      <c r="BG802" s="22"/>
      <c r="BH802" s="22"/>
      <c r="BI802" s="22"/>
      <c r="BJ802" s="22"/>
      <c r="BK802" s="22"/>
      <c r="BL802" s="22"/>
      <c r="BM802" s="22"/>
      <c r="BN802" s="22"/>
      <c r="BO802" s="22"/>
      <c r="BP802" s="22"/>
      <c r="BQ802" s="22"/>
      <c r="BR802" s="22"/>
      <c r="BS802" s="22"/>
    </row>
    <row r="803">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22"/>
      <c r="BF803" s="22"/>
      <c r="BG803" s="22"/>
      <c r="BH803" s="22"/>
      <c r="BI803" s="22"/>
      <c r="BJ803" s="22"/>
      <c r="BK803" s="22"/>
      <c r="BL803" s="22"/>
      <c r="BM803" s="22"/>
      <c r="BN803" s="22"/>
      <c r="BO803" s="22"/>
      <c r="BP803" s="22"/>
      <c r="BQ803" s="22"/>
      <c r="BR803" s="22"/>
      <c r="BS803" s="22"/>
    </row>
    <row r="804">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22"/>
      <c r="BF804" s="22"/>
      <c r="BG804" s="22"/>
      <c r="BH804" s="22"/>
      <c r="BI804" s="22"/>
      <c r="BJ804" s="22"/>
      <c r="BK804" s="22"/>
      <c r="BL804" s="22"/>
      <c r="BM804" s="22"/>
      <c r="BN804" s="22"/>
      <c r="BO804" s="22"/>
      <c r="BP804" s="22"/>
      <c r="BQ804" s="22"/>
      <c r="BR804" s="22"/>
      <c r="BS804" s="22"/>
    </row>
    <row r="805">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c r="BI805" s="22"/>
      <c r="BJ805" s="22"/>
      <c r="BK805" s="22"/>
      <c r="BL805" s="22"/>
      <c r="BM805" s="22"/>
      <c r="BN805" s="22"/>
      <c r="BO805" s="22"/>
      <c r="BP805" s="22"/>
      <c r="BQ805" s="22"/>
      <c r="BR805" s="22"/>
      <c r="BS805" s="22"/>
    </row>
    <row r="806">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22"/>
      <c r="BF806" s="22"/>
      <c r="BG806" s="22"/>
      <c r="BH806" s="22"/>
      <c r="BI806" s="22"/>
      <c r="BJ806" s="22"/>
      <c r="BK806" s="22"/>
      <c r="BL806" s="22"/>
      <c r="BM806" s="22"/>
      <c r="BN806" s="22"/>
      <c r="BO806" s="22"/>
      <c r="BP806" s="22"/>
      <c r="BQ806" s="22"/>
      <c r="BR806" s="22"/>
      <c r="BS806" s="22"/>
    </row>
    <row r="807">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c r="BI807" s="22"/>
      <c r="BJ807" s="22"/>
      <c r="BK807" s="22"/>
      <c r="BL807" s="22"/>
      <c r="BM807" s="22"/>
      <c r="BN807" s="22"/>
      <c r="BO807" s="22"/>
      <c r="BP807" s="22"/>
      <c r="BQ807" s="22"/>
      <c r="BR807" s="22"/>
      <c r="BS807" s="22"/>
    </row>
    <row r="808">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c r="BI808" s="22"/>
      <c r="BJ808" s="22"/>
      <c r="BK808" s="22"/>
      <c r="BL808" s="22"/>
      <c r="BM808" s="22"/>
      <c r="BN808" s="22"/>
      <c r="BO808" s="22"/>
      <c r="BP808" s="22"/>
      <c r="BQ808" s="22"/>
      <c r="BR808" s="22"/>
      <c r="BS808" s="22"/>
    </row>
    <row r="809">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22"/>
      <c r="BF809" s="22"/>
      <c r="BG809" s="22"/>
      <c r="BH809" s="22"/>
      <c r="BI809" s="22"/>
      <c r="BJ809" s="22"/>
      <c r="BK809" s="22"/>
      <c r="BL809" s="22"/>
      <c r="BM809" s="22"/>
      <c r="BN809" s="22"/>
      <c r="BO809" s="22"/>
      <c r="BP809" s="22"/>
      <c r="BQ809" s="22"/>
      <c r="BR809" s="22"/>
      <c r="BS809" s="22"/>
    </row>
    <row r="810">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c r="BI810" s="22"/>
      <c r="BJ810" s="22"/>
      <c r="BK810" s="22"/>
      <c r="BL810" s="22"/>
      <c r="BM810" s="22"/>
      <c r="BN810" s="22"/>
      <c r="BO810" s="22"/>
      <c r="BP810" s="22"/>
      <c r="BQ810" s="22"/>
      <c r="BR810" s="22"/>
      <c r="BS810" s="22"/>
    </row>
    <row r="811">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c r="BE811" s="22"/>
      <c r="BF811" s="22"/>
      <c r="BG811" s="22"/>
      <c r="BH811" s="22"/>
      <c r="BI811" s="22"/>
      <c r="BJ811" s="22"/>
      <c r="BK811" s="22"/>
      <c r="BL811" s="22"/>
      <c r="BM811" s="22"/>
      <c r="BN811" s="22"/>
      <c r="BO811" s="22"/>
      <c r="BP811" s="22"/>
      <c r="BQ811" s="22"/>
      <c r="BR811" s="22"/>
      <c r="BS811" s="22"/>
    </row>
    <row r="81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22"/>
      <c r="BF812" s="22"/>
      <c r="BG812" s="22"/>
      <c r="BH812" s="22"/>
      <c r="BI812" s="22"/>
      <c r="BJ812" s="22"/>
      <c r="BK812" s="22"/>
      <c r="BL812" s="22"/>
      <c r="BM812" s="22"/>
      <c r="BN812" s="22"/>
      <c r="BO812" s="22"/>
      <c r="BP812" s="22"/>
      <c r="BQ812" s="22"/>
      <c r="BR812" s="22"/>
      <c r="BS812" s="22"/>
    </row>
    <row r="813">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22"/>
      <c r="BF813" s="22"/>
      <c r="BG813" s="22"/>
      <c r="BH813" s="22"/>
      <c r="BI813" s="22"/>
      <c r="BJ813" s="22"/>
      <c r="BK813" s="22"/>
      <c r="BL813" s="22"/>
      <c r="BM813" s="22"/>
      <c r="BN813" s="22"/>
      <c r="BO813" s="22"/>
      <c r="BP813" s="22"/>
      <c r="BQ813" s="22"/>
      <c r="BR813" s="22"/>
      <c r="BS813" s="22"/>
    </row>
    <row r="814">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c r="BE814" s="22"/>
      <c r="BF814" s="22"/>
      <c r="BG814" s="22"/>
      <c r="BH814" s="22"/>
      <c r="BI814" s="22"/>
      <c r="BJ814" s="22"/>
      <c r="BK814" s="22"/>
      <c r="BL814" s="22"/>
      <c r="BM814" s="22"/>
      <c r="BN814" s="22"/>
      <c r="BO814" s="22"/>
      <c r="BP814" s="22"/>
      <c r="BQ814" s="22"/>
      <c r="BR814" s="22"/>
      <c r="BS814" s="22"/>
    </row>
    <row r="815">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c r="BE815" s="22"/>
      <c r="BF815" s="22"/>
      <c r="BG815" s="22"/>
      <c r="BH815" s="22"/>
      <c r="BI815" s="22"/>
      <c r="BJ815" s="22"/>
      <c r="BK815" s="22"/>
      <c r="BL815" s="22"/>
      <c r="BM815" s="22"/>
      <c r="BN815" s="22"/>
      <c r="BO815" s="22"/>
      <c r="BP815" s="22"/>
      <c r="BQ815" s="22"/>
      <c r="BR815" s="22"/>
      <c r="BS815" s="22"/>
    </row>
    <row r="816">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c r="BE816" s="22"/>
      <c r="BF816" s="22"/>
      <c r="BG816" s="22"/>
      <c r="BH816" s="22"/>
      <c r="BI816" s="22"/>
      <c r="BJ816" s="22"/>
      <c r="BK816" s="22"/>
      <c r="BL816" s="22"/>
      <c r="BM816" s="22"/>
      <c r="BN816" s="22"/>
      <c r="BO816" s="22"/>
      <c r="BP816" s="22"/>
      <c r="BQ816" s="22"/>
      <c r="BR816" s="22"/>
      <c r="BS816" s="22"/>
    </row>
    <row r="817">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c r="BE817" s="22"/>
      <c r="BF817" s="22"/>
      <c r="BG817" s="22"/>
      <c r="BH817" s="22"/>
      <c r="BI817" s="22"/>
      <c r="BJ817" s="22"/>
      <c r="BK817" s="22"/>
      <c r="BL817" s="22"/>
      <c r="BM817" s="22"/>
      <c r="BN817" s="22"/>
      <c r="BO817" s="22"/>
      <c r="BP817" s="22"/>
      <c r="BQ817" s="22"/>
      <c r="BR817" s="22"/>
      <c r="BS817" s="22"/>
    </row>
    <row r="818">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c r="BE818" s="22"/>
      <c r="BF818" s="22"/>
      <c r="BG818" s="22"/>
      <c r="BH818" s="22"/>
      <c r="BI818" s="22"/>
      <c r="BJ818" s="22"/>
      <c r="BK818" s="22"/>
      <c r="BL818" s="22"/>
      <c r="BM818" s="22"/>
      <c r="BN818" s="22"/>
      <c r="BO818" s="22"/>
      <c r="BP818" s="22"/>
      <c r="BQ818" s="22"/>
      <c r="BR818" s="22"/>
      <c r="BS818" s="22"/>
    </row>
    <row r="819">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22"/>
      <c r="BF819" s="22"/>
      <c r="BG819" s="22"/>
      <c r="BH819" s="22"/>
      <c r="BI819" s="22"/>
      <c r="BJ819" s="22"/>
      <c r="BK819" s="22"/>
      <c r="BL819" s="22"/>
      <c r="BM819" s="22"/>
      <c r="BN819" s="22"/>
      <c r="BO819" s="22"/>
      <c r="BP819" s="22"/>
      <c r="BQ819" s="22"/>
      <c r="BR819" s="22"/>
      <c r="BS819" s="22"/>
    </row>
    <row r="820">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c r="BE820" s="22"/>
      <c r="BF820" s="22"/>
      <c r="BG820" s="22"/>
      <c r="BH820" s="22"/>
      <c r="BI820" s="22"/>
      <c r="BJ820" s="22"/>
      <c r="BK820" s="22"/>
      <c r="BL820" s="22"/>
      <c r="BM820" s="22"/>
      <c r="BN820" s="22"/>
      <c r="BO820" s="22"/>
      <c r="BP820" s="22"/>
      <c r="BQ820" s="22"/>
      <c r="BR820" s="22"/>
      <c r="BS820" s="22"/>
    </row>
    <row r="821">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c r="BE821" s="22"/>
      <c r="BF821" s="22"/>
      <c r="BG821" s="22"/>
      <c r="BH821" s="22"/>
      <c r="BI821" s="22"/>
      <c r="BJ821" s="22"/>
      <c r="BK821" s="22"/>
      <c r="BL821" s="22"/>
      <c r="BM821" s="22"/>
      <c r="BN821" s="22"/>
      <c r="BO821" s="22"/>
      <c r="BP821" s="22"/>
      <c r="BQ821" s="22"/>
      <c r="BR821" s="22"/>
      <c r="BS821" s="22"/>
    </row>
    <row r="8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c r="BE822" s="22"/>
      <c r="BF822" s="22"/>
      <c r="BG822" s="22"/>
      <c r="BH822" s="22"/>
      <c r="BI822" s="22"/>
      <c r="BJ822" s="22"/>
      <c r="BK822" s="22"/>
      <c r="BL822" s="22"/>
      <c r="BM822" s="22"/>
      <c r="BN822" s="22"/>
      <c r="BO822" s="22"/>
      <c r="BP822" s="22"/>
      <c r="BQ822" s="22"/>
      <c r="BR822" s="22"/>
      <c r="BS822" s="22"/>
    </row>
    <row r="823">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c r="BD823" s="22"/>
      <c r="BE823" s="22"/>
      <c r="BF823" s="22"/>
      <c r="BG823" s="22"/>
      <c r="BH823" s="22"/>
      <c r="BI823" s="22"/>
      <c r="BJ823" s="22"/>
      <c r="BK823" s="22"/>
      <c r="BL823" s="22"/>
      <c r="BM823" s="22"/>
      <c r="BN823" s="22"/>
      <c r="BO823" s="22"/>
      <c r="BP823" s="22"/>
      <c r="BQ823" s="22"/>
      <c r="BR823" s="22"/>
      <c r="BS823" s="22"/>
    </row>
    <row r="824">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c r="BE824" s="22"/>
      <c r="BF824" s="22"/>
      <c r="BG824" s="22"/>
      <c r="BH824" s="22"/>
      <c r="BI824" s="22"/>
      <c r="BJ824" s="22"/>
      <c r="BK824" s="22"/>
      <c r="BL824" s="22"/>
      <c r="BM824" s="22"/>
      <c r="BN824" s="22"/>
      <c r="BO824" s="22"/>
      <c r="BP824" s="22"/>
      <c r="BQ824" s="22"/>
      <c r="BR824" s="22"/>
      <c r="BS824" s="22"/>
    </row>
    <row r="825">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c r="BD825" s="22"/>
      <c r="BE825" s="22"/>
      <c r="BF825" s="22"/>
      <c r="BG825" s="22"/>
      <c r="BH825" s="22"/>
      <c r="BI825" s="22"/>
      <c r="BJ825" s="22"/>
      <c r="BK825" s="22"/>
      <c r="BL825" s="22"/>
      <c r="BM825" s="22"/>
      <c r="BN825" s="22"/>
      <c r="BO825" s="22"/>
      <c r="BP825" s="22"/>
      <c r="BQ825" s="22"/>
      <c r="BR825" s="22"/>
      <c r="BS825" s="22"/>
    </row>
    <row r="826">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c r="BE826" s="22"/>
      <c r="BF826" s="22"/>
      <c r="BG826" s="22"/>
      <c r="BH826" s="22"/>
      <c r="BI826" s="22"/>
      <c r="BJ826" s="22"/>
      <c r="BK826" s="22"/>
      <c r="BL826" s="22"/>
      <c r="BM826" s="22"/>
      <c r="BN826" s="22"/>
      <c r="BO826" s="22"/>
      <c r="BP826" s="22"/>
      <c r="BQ826" s="22"/>
      <c r="BR826" s="22"/>
      <c r="BS826" s="22"/>
    </row>
    <row r="827">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c r="BE827" s="22"/>
      <c r="BF827" s="22"/>
      <c r="BG827" s="22"/>
      <c r="BH827" s="22"/>
      <c r="BI827" s="22"/>
      <c r="BJ827" s="22"/>
      <c r="BK827" s="22"/>
      <c r="BL827" s="22"/>
      <c r="BM827" s="22"/>
      <c r="BN827" s="22"/>
      <c r="BO827" s="22"/>
      <c r="BP827" s="22"/>
      <c r="BQ827" s="22"/>
      <c r="BR827" s="22"/>
      <c r="BS827" s="22"/>
    </row>
    <row r="828">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c r="BE828" s="22"/>
      <c r="BF828" s="22"/>
      <c r="BG828" s="22"/>
      <c r="BH828" s="22"/>
      <c r="BI828" s="22"/>
      <c r="BJ828" s="22"/>
      <c r="BK828" s="22"/>
      <c r="BL828" s="22"/>
      <c r="BM828" s="22"/>
      <c r="BN828" s="22"/>
      <c r="BO828" s="22"/>
      <c r="BP828" s="22"/>
      <c r="BQ828" s="22"/>
      <c r="BR828" s="22"/>
      <c r="BS828" s="22"/>
    </row>
    <row r="829">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c r="BD829" s="22"/>
      <c r="BE829" s="22"/>
      <c r="BF829" s="22"/>
      <c r="BG829" s="22"/>
      <c r="BH829" s="22"/>
      <c r="BI829" s="22"/>
      <c r="BJ829" s="22"/>
      <c r="BK829" s="22"/>
      <c r="BL829" s="22"/>
      <c r="BM829" s="22"/>
      <c r="BN829" s="22"/>
      <c r="BO829" s="22"/>
      <c r="BP829" s="22"/>
      <c r="BQ829" s="22"/>
      <c r="BR829" s="22"/>
      <c r="BS829" s="22"/>
    </row>
    <row r="830">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c r="BD830" s="22"/>
      <c r="BE830" s="22"/>
      <c r="BF830" s="22"/>
      <c r="BG830" s="22"/>
      <c r="BH830" s="22"/>
      <c r="BI830" s="22"/>
      <c r="BJ830" s="22"/>
      <c r="BK830" s="22"/>
      <c r="BL830" s="22"/>
      <c r="BM830" s="22"/>
      <c r="BN830" s="22"/>
      <c r="BO830" s="22"/>
      <c r="BP830" s="22"/>
      <c r="BQ830" s="22"/>
      <c r="BR830" s="22"/>
      <c r="BS830" s="22"/>
    </row>
    <row r="831">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c r="BE831" s="22"/>
      <c r="BF831" s="22"/>
      <c r="BG831" s="22"/>
      <c r="BH831" s="22"/>
      <c r="BI831" s="22"/>
      <c r="BJ831" s="22"/>
      <c r="BK831" s="22"/>
      <c r="BL831" s="22"/>
      <c r="BM831" s="22"/>
      <c r="BN831" s="22"/>
      <c r="BO831" s="22"/>
      <c r="BP831" s="22"/>
      <c r="BQ831" s="22"/>
      <c r="BR831" s="22"/>
      <c r="BS831" s="22"/>
    </row>
    <row r="83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c r="BE832" s="22"/>
      <c r="BF832" s="22"/>
      <c r="BG832" s="22"/>
      <c r="BH832" s="22"/>
      <c r="BI832" s="22"/>
      <c r="BJ832" s="22"/>
      <c r="BK832" s="22"/>
      <c r="BL832" s="22"/>
      <c r="BM832" s="22"/>
      <c r="BN832" s="22"/>
      <c r="BO832" s="22"/>
      <c r="BP832" s="22"/>
      <c r="BQ832" s="22"/>
      <c r="BR832" s="22"/>
      <c r="BS832" s="22"/>
    </row>
    <row r="833">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c r="BE833" s="22"/>
      <c r="BF833" s="22"/>
      <c r="BG833" s="22"/>
      <c r="BH833" s="22"/>
      <c r="BI833" s="22"/>
      <c r="BJ833" s="22"/>
      <c r="BK833" s="22"/>
      <c r="BL833" s="22"/>
      <c r="BM833" s="22"/>
      <c r="BN833" s="22"/>
      <c r="BO833" s="22"/>
      <c r="BP833" s="22"/>
      <c r="BQ833" s="22"/>
      <c r="BR833" s="22"/>
      <c r="BS833" s="22"/>
    </row>
    <row r="834">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c r="BD834" s="22"/>
      <c r="BE834" s="22"/>
      <c r="BF834" s="22"/>
      <c r="BG834" s="22"/>
      <c r="BH834" s="22"/>
      <c r="BI834" s="22"/>
      <c r="BJ834" s="22"/>
      <c r="BK834" s="22"/>
      <c r="BL834" s="22"/>
      <c r="BM834" s="22"/>
      <c r="BN834" s="22"/>
      <c r="BO834" s="22"/>
      <c r="BP834" s="22"/>
      <c r="BQ834" s="22"/>
      <c r="BR834" s="22"/>
      <c r="BS834" s="22"/>
    </row>
    <row r="835">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c r="BD835" s="22"/>
      <c r="BE835" s="22"/>
      <c r="BF835" s="22"/>
      <c r="BG835" s="22"/>
      <c r="BH835" s="22"/>
      <c r="BI835" s="22"/>
      <c r="BJ835" s="22"/>
      <c r="BK835" s="22"/>
      <c r="BL835" s="22"/>
      <c r="BM835" s="22"/>
      <c r="BN835" s="22"/>
      <c r="BO835" s="22"/>
      <c r="BP835" s="22"/>
      <c r="BQ835" s="22"/>
      <c r="BR835" s="22"/>
      <c r="BS835" s="22"/>
    </row>
    <row r="836">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c r="BE836" s="22"/>
      <c r="BF836" s="22"/>
      <c r="BG836" s="22"/>
      <c r="BH836" s="22"/>
      <c r="BI836" s="22"/>
      <c r="BJ836" s="22"/>
      <c r="BK836" s="22"/>
      <c r="BL836" s="22"/>
      <c r="BM836" s="22"/>
      <c r="BN836" s="22"/>
      <c r="BO836" s="22"/>
      <c r="BP836" s="22"/>
      <c r="BQ836" s="22"/>
      <c r="BR836" s="22"/>
      <c r="BS836" s="22"/>
    </row>
    <row r="837">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c r="BE837" s="22"/>
      <c r="BF837" s="22"/>
      <c r="BG837" s="22"/>
      <c r="BH837" s="22"/>
      <c r="BI837" s="22"/>
      <c r="BJ837" s="22"/>
      <c r="BK837" s="22"/>
      <c r="BL837" s="22"/>
      <c r="BM837" s="22"/>
      <c r="BN837" s="22"/>
      <c r="BO837" s="22"/>
      <c r="BP837" s="22"/>
      <c r="BQ837" s="22"/>
      <c r="BR837" s="22"/>
      <c r="BS837" s="22"/>
    </row>
    <row r="838">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c r="BE838" s="22"/>
      <c r="BF838" s="22"/>
      <c r="BG838" s="22"/>
      <c r="BH838" s="22"/>
      <c r="BI838" s="22"/>
      <c r="BJ838" s="22"/>
      <c r="BK838" s="22"/>
      <c r="BL838" s="22"/>
      <c r="BM838" s="22"/>
      <c r="BN838" s="22"/>
      <c r="BO838" s="22"/>
      <c r="BP838" s="22"/>
      <c r="BQ838" s="22"/>
      <c r="BR838" s="22"/>
      <c r="BS838" s="22"/>
    </row>
    <row r="839">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c r="BE839" s="22"/>
      <c r="BF839" s="22"/>
      <c r="BG839" s="22"/>
      <c r="BH839" s="22"/>
      <c r="BI839" s="22"/>
      <c r="BJ839" s="22"/>
      <c r="BK839" s="22"/>
      <c r="BL839" s="22"/>
      <c r="BM839" s="22"/>
      <c r="BN839" s="22"/>
      <c r="BO839" s="22"/>
      <c r="BP839" s="22"/>
      <c r="BQ839" s="22"/>
      <c r="BR839" s="22"/>
      <c r="BS839" s="22"/>
    </row>
    <row r="840">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22"/>
      <c r="BF840" s="22"/>
      <c r="BG840" s="22"/>
      <c r="BH840" s="22"/>
      <c r="BI840" s="22"/>
      <c r="BJ840" s="22"/>
      <c r="BK840" s="22"/>
      <c r="BL840" s="22"/>
      <c r="BM840" s="22"/>
      <c r="BN840" s="22"/>
      <c r="BO840" s="22"/>
      <c r="BP840" s="22"/>
      <c r="BQ840" s="22"/>
      <c r="BR840" s="22"/>
      <c r="BS840" s="22"/>
    </row>
    <row r="841">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22"/>
      <c r="BF841" s="22"/>
      <c r="BG841" s="22"/>
      <c r="BH841" s="22"/>
      <c r="BI841" s="22"/>
      <c r="BJ841" s="22"/>
      <c r="BK841" s="22"/>
      <c r="BL841" s="22"/>
      <c r="BM841" s="22"/>
      <c r="BN841" s="22"/>
      <c r="BO841" s="22"/>
      <c r="BP841" s="22"/>
      <c r="BQ841" s="22"/>
      <c r="BR841" s="22"/>
      <c r="BS841" s="22"/>
    </row>
    <row r="84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c r="BE842" s="22"/>
      <c r="BF842" s="22"/>
      <c r="BG842" s="22"/>
      <c r="BH842" s="22"/>
      <c r="BI842" s="22"/>
      <c r="BJ842" s="22"/>
      <c r="BK842" s="22"/>
      <c r="BL842" s="22"/>
      <c r="BM842" s="22"/>
      <c r="BN842" s="22"/>
      <c r="BO842" s="22"/>
      <c r="BP842" s="22"/>
      <c r="BQ842" s="22"/>
      <c r="BR842" s="22"/>
      <c r="BS842" s="22"/>
    </row>
    <row r="843">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c r="BE843" s="22"/>
      <c r="BF843" s="22"/>
      <c r="BG843" s="22"/>
      <c r="BH843" s="22"/>
      <c r="BI843" s="22"/>
      <c r="BJ843" s="22"/>
      <c r="BK843" s="22"/>
      <c r="BL843" s="22"/>
      <c r="BM843" s="22"/>
      <c r="BN843" s="22"/>
      <c r="BO843" s="22"/>
      <c r="BP843" s="22"/>
      <c r="BQ843" s="22"/>
      <c r="BR843" s="22"/>
      <c r="BS843" s="22"/>
    </row>
    <row r="844">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22"/>
      <c r="BF844" s="22"/>
      <c r="BG844" s="22"/>
      <c r="BH844" s="22"/>
      <c r="BI844" s="22"/>
      <c r="BJ844" s="22"/>
      <c r="BK844" s="22"/>
      <c r="BL844" s="22"/>
      <c r="BM844" s="22"/>
      <c r="BN844" s="22"/>
      <c r="BO844" s="22"/>
      <c r="BP844" s="22"/>
      <c r="BQ844" s="22"/>
      <c r="BR844" s="22"/>
      <c r="BS844" s="22"/>
    </row>
    <row r="845">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c r="BE845" s="22"/>
      <c r="BF845" s="22"/>
      <c r="BG845" s="22"/>
      <c r="BH845" s="22"/>
      <c r="BI845" s="22"/>
      <c r="BJ845" s="22"/>
      <c r="BK845" s="22"/>
      <c r="BL845" s="22"/>
      <c r="BM845" s="22"/>
      <c r="BN845" s="22"/>
      <c r="BO845" s="22"/>
      <c r="BP845" s="22"/>
      <c r="BQ845" s="22"/>
      <c r="BR845" s="22"/>
      <c r="BS845" s="22"/>
    </row>
    <row r="846">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22"/>
      <c r="BF846" s="22"/>
      <c r="BG846" s="22"/>
      <c r="BH846" s="22"/>
      <c r="BI846" s="22"/>
      <c r="BJ846" s="22"/>
      <c r="BK846" s="22"/>
      <c r="BL846" s="22"/>
      <c r="BM846" s="22"/>
      <c r="BN846" s="22"/>
      <c r="BO846" s="22"/>
      <c r="BP846" s="22"/>
      <c r="BQ846" s="22"/>
      <c r="BR846" s="22"/>
      <c r="BS846" s="22"/>
    </row>
    <row r="847">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c r="BE847" s="22"/>
      <c r="BF847" s="22"/>
      <c r="BG847" s="22"/>
      <c r="BH847" s="22"/>
      <c r="BI847" s="22"/>
      <c r="BJ847" s="22"/>
      <c r="BK847" s="22"/>
      <c r="BL847" s="22"/>
      <c r="BM847" s="22"/>
      <c r="BN847" s="22"/>
      <c r="BO847" s="22"/>
      <c r="BP847" s="22"/>
      <c r="BQ847" s="22"/>
      <c r="BR847" s="22"/>
      <c r="BS847" s="22"/>
    </row>
    <row r="848">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c r="BE848" s="22"/>
      <c r="BF848" s="22"/>
      <c r="BG848" s="22"/>
      <c r="BH848" s="22"/>
      <c r="BI848" s="22"/>
      <c r="BJ848" s="22"/>
      <c r="BK848" s="22"/>
      <c r="BL848" s="22"/>
      <c r="BM848" s="22"/>
      <c r="BN848" s="22"/>
      <c r="BO848" s="22"/>
      <c r="BP848" s="22"/>
      <c r="BQ848" s="22"/>
      <c r="BR848" s="22"/>
      <c r="BS848" s="22"/>
    </row>
    <row r="849">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c r="BE849" s="22"/>
      <c r="BF849" s="22"/>
      <c r="BG849" s="22"/>
      <c r="BH849" s="22"/>
      <c r="BI849" s="22"/>
      <c r="BJ849" s="22"/>
      <c r="BK849" s="22"/>
      <c r="BL849" s="22"/>
      <c r="BM849" s="22"/>
      <c r="BN849" s="22"/>
      <c r="BO849" s="22"/>
      <c r="BP849" s="22"/>
      <c r="BQ849" s="22"/>
      <c r="BR849" s="22"/>
      <c r="BS849" s="22"/>
    </row>
    <row r="850">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c r="BE850" s="22"/>
      <c r="BF850" s="22"/>
      <c r="BG850" s="22"/>
      <c r="BH850" s="22"/>
      <c r="BI850" s="22"/>
      <c r="BJ850" s="22"/>
      <c r="BK850" s="22"/>
      <c r="BL850" s="22"/>
      <c r="BM850" s="22"/>
      <c r="BN850" s="22"/>
      <c r="BO850" s="22"/>
      <c r="BP850" s="22"/>
      <c r="BQ850" s="22"/>
      <c r="BR850" s="22"/>
      <c r="BS850" s="22"/>
    </row>
    <row r="851">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row>
    <row r="85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row>
    <row r="853">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c r="BI853" s="22"/>
      <c r="BJ853" s="22"/>
      <c r="BK853" s="22"/>
      <c r="BL853" s="22"/>
      <c r="BM853" s="22"/>
      <c r="BN853" s="22"/>
      <c r="BO853" s="22"/>
      <c r="BP853" s="22"/>
      <c r="BQ853" s="22"/>
      <c r="BR853" s="22"/>
      <c r="BS853" s="22"/>
    </row>
    <row r="854">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c r="BI854" s="22"/>
      <c r="BJ854" s="22"/>
      <c r="BK854" s="22"/>
      <c r="BL854" s="22"/>
      <c r="BM854" s="22"/>
      <c r="BN854" s="22"/>
      <c r="BO854" s="22"/>
      <c r="BP854" s="22"/>
      <c r="BQ854" s="22"/>
      <c r="BR854" s="22"/>
      <c r="BS854" s="22"/>
    </row>
    <row r="855">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c r="BI855" s="22"/>
      <c r="BJ855" s="22"/>
      <c r="BK855" s="22"/>
      <c r="BL855" s="22"/>
      <c r="BM855" s="22"/>
      <c r="BN855" s="22"/>
      <c r="BO855" s="22"/>
      <c r="BP855" s="22"/>
      <c r="BQ855" s="22"/>
      <c r="BR855" s="22"/>
      <c r="BS855" s="22"/>
    </row>
    <row r="856">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c r="BI856" s="22"/>
      <c r="BJ856" s="22"/>
      <c r="BK856" s="22"/>
      <c r="BL856" s="22"/>
      <c r="BM856" s="22"/>
      <c r="BN856" s="22"/>
      <c r="BO856" s="22"/>
      <c r="BP856" s="22"/>
      <c r="BQ856" s="22"/>
      <c r="BR856" s="22"/>
      <c r="BS856" s="22"/>
    </row>
    <row r="857">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c r="BI857" s="22"/>
      <c r="BJ857" s="22"/>
      <c r="BK857" s="22"/>
      <c r="BL857" s="22"/>
      <c r="BM857" s="22"/>
      <c r="BN857" s="22"/>
      <c r="BO857" s="22"/>
      <c r="BP857" s="22"/>
      <c r="BQ857" s="22"/>
      <c r="BR857" s="22"/>
      <c r="BS857" s="22"/>
    </row>
    <row r="858">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c r="BI858" s="22"/>
      <c r="BJ858" s="22"/>
      <c r="BK858" s="22"/>
      <c r="BL858" s="22"/>
      <c r="BM858" s="22"/>
      <c r="BN858" s="22"/>
      <c r="BO858" s="22"/>
      <c r="BP858" s="22"/>
      <c r="BQ858" s="22"/>
      <c r="BR858" s="22"/>
      <c r="BS858" s="22"/>
    </row>
    <row r="859">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c r="BI859" s="22"/>
      <c r="BJ859" s="22"/>
      <c r="BK859" s="22"/>
      <c r="BL859" s="22"/>
      <c r="BM859" s="22"/>
      <c r="BN859" s="22"/>
      <c r="BO859" s="22"/>
      <c r="BP859" s="22"/>
      <c r="BQ859" s="22"/>
      <c r="BR859" s="22"/>
      <c r="BS859" s="22"/>
    </row>
    <row r="860">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c r="BI860" s="22"/>
      <c r="BJ860" s="22"/>
      <c r="BK860" s="22"/>
      <c r="BL860" s="22"/>
      <c r="BM860" s="22"/>
      <c r="BN860" s="22"/>
      <c r="BO860" s="22"/>
      <c r="BP860" s="22"/>
      <c r="BQ860" s="22"/>
      <c r="BR860" s="22"/>
      <c r="BS860" s="22"/>
    </row>
    <row r="861">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c r="BI861" s="22"/>
      <c r="BJ861" s="22"/>
      <c r="BK861" s="22"/>
      <c r="BL861" s="22"/>
      <c r="BM861" s="22"/>
      <c r="BN861" s="22"/>
      <c r="BO861" s="22"/>
      <c r="BP861" s="22"/>
      <c r="BQ861" s="22"/>
      <c r="BR861" s="22"/>
      <c r="BS861" s="22"/>
    </row>
    <row r="86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c r="BI862" s="22"/>
      <c r="BJ862" s="22"/>
      <c r="BK862" s="22"/>
      <c r="BL862" s="22"/>
      <c r="BM862" s="22"/>
      <c r="BN862" s="22"/>
      <c r="BO862" s="22"/>
      <c r="BP862" s="22"/>
      <c r="BQ862" s="22"/>
      <c r="BR862" s="22"/>
      <c r="BS862" s="22"/>
    </row>
    <row r="863">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c r="BI863" s="22"/>
      <c r="BJ863" s="22"/>
      <c r="BK863" s="22"/>
      <c r="BL863" s="22"/>
      <c r="BM863" s="22"/>
      <c r="BN863" s="22"/>
      <c r="BO863" s="22"/>
      <c r="BP863" s="22"/>
      <c r="BQ863" s="22"/>
      <c r="BR863" s="22"/>
      <c r="BS863" s="22"/>
    </row>
    <row r="864">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c r="BE864" s="22"/>
      <c r="BF864" s="22"/>
      <c r="BG864" s="22"/>
      <c r="BH864" s="22"/>
      <c r="BI864" s="22"/>
      <c r="BJ864" s="22"/>
      <c r="BK864" s="22"/>
      <c r="BL864" s="22"/>
      <c r="BM864" s="22"/>
      <c r="BN864" s="22"/>
      <c r="BO864" s="22"/>
      <c r="BP864" s="22"/>
      <c r="BQ864" s="22"/>
      <c r="BR864" s="22"/>
      <c r="BS864" s="22"/>
    </row>
    <row r="865">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c r="BE865" s="22"/>
      <c r="BF865" s="22"/>
      <c r="BG865" s="22"/>
      <c r="BH865" s="22"/>
      <c r="BI865" s="22"/>
      <c r="BJ865" s="22"/>
      <c r="BK865" s="22"/>
      <c r="BL865" s="22"/>
      <c r="BM865" s="22"/>
      <c r="BN865" s="22"/>
      <c r="BO865" s="22"/>
      <c r="BP865" s="22"/>
      <c r="BQ865" s="22"/>
      <c r="BR865" s="22"/>
      <c r="BS865" s="22"/>
    </row>
    <row r="866">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c r="BE866" s="22"/>
      <c r="BF866" s="22"/>
      <c r="BG866" s="22"/>
      <c r="BH866" s="22"/>
      <c r="BI866" s="22"/>
      <c r="BJ866" s="22"/>
      <c r="BK866" s="22"/>
      <c r="BL866" s="22"/>
      <c r="BM866" s="22"/>
      <c r="BN866" s="22"/>
      <c r="BO866" s="22"/>
      <c r="BP866" s="22"/>
      <c r="BQ866" s="22"/>
      <c r="BR866" s="22"/>
      <c r="BS866" s="22"/>
    </row>
    <row r="867">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c r="BE867" s="22"/>
      <c r="BF867" s="22"/>
      <c r="BG867" s="22"/>
      <c r="BH867" s="22"/>
      <c r="BI867" s="22"/>
      <c r="BJ867" s="22"/>
      <c r="BK867" s="22"/>
      <c r="BL867" s="22"/>
      <c r="BM867" s="22"/>
      <c r="BN867" s="22"/>
      <c r="BO867" s="22"/>
      <c r="BP867" s="22"/>
      <c r="BQ867" s="22"/>
      <c r="BR867" s="22"/>
      <c r="BS867" s="22"/>
    </row>
    <row r="868">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c r="BE868" s="22"/>
      <c r="BF868" s="22"/>
      <c r="BG868" s="22"/>
      <c r="BH868" s="22"/>
      <c r="BI868" s="22"/>
      <c r="BJ868" s="22"/>
      <c r="BK868" s="22"/>
      <c r="BL868" s="22"/>
      <c r="BM868" s="22"/>
      <c r="BN868" s="22"/>
      <c r="BO868" s="22"/>
      <c r="BP868" s="22"/>
      <c r="BQ868" s="22"/>
      <c r="BR868" s="22"/>
      <c r="BS868" s="22"/>
    </row>
    <row r="869">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c r="BE869" s="22"/>
      <c r="BF869" s="22"/>
      <c r="BG869" s="22"/>
      <c r="BH869" s="22"/>
      <c r="BI869" s="22"/>
      <c r="BJ869" s="22"/>
      <c r="BK869" s="22"/>
      <c r="BL869" s="22"/>
      <c r="BM869" s="22"/>
      <c r="BN869" s="22"/>
      <c r="BO869" s="22"/>
      <c r="BP869" s="22"/>
      <c r="BQ869" s="22"/>
      <c r="BR869" s="22"/>
      <c r="BS869" s="22"/>
    </row>
    <row r="870">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c r="BE870" s="22"/>
      <c r="BF870" s="22"/>
      <c r="BG870" s="22"/>
      <c r="BH870" s="22"/>
      <c r="BI870" s="22"/>
      <c r="BJ870" s="22"/>
      <c r="BK870" s="22"/>
      <c r="BL870" s="22"/>
      <c r="BM870" s="22"/>
      <c r="BN870" s="22"/>
      <c r="BO870" s="22"/>
      <c r="BP870" s="22"/>
      <c r="BQ870" s="22"/>
      <c r="BR870" s="22"/>
      <c r="BS870" s="22"/>
    </row>
    <row r="871">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c r="BE871" s="22"/>
      <c r="BF871" s="22"/>
      <c r="BG871" s="22"/>
      <c r="BH871" s="22"/>
      <c r="BI871" s="22"/>
      <c r="BJ871" s="22"/>
      <c r="BK871" s="22"/>
      <c r="BL871" s="22"/>
      <c r="BM871" s="22"/>
      <c r="BN871" s="22"/>
      <c r="BO871" s="22"/>
      <c r="BP871" s="22"/>
      <c r="BQ871" s="22"/>
      <c r="BR871" s="22"/>
      <c r="BS871" s="22"/>
    </row>
    <row r="87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c r="BE872" s="22"/>
      <c r="BF872" s="22"/>
      <c r="BG872" s="22"/>
      <c r="BH872" s="22"/>
      <c r="BI872" s="22"/>
      <c r="BJ872" s="22"/>
      <c r="BK872" s="22"/>
      <c r="BL872" s="22"/>
      <c r="BM872" s="22"/>
      <c r="BN872" s="22"/>
      <c r="BO872" s="22"/>
      <c r="BP872" s="22"/>
      <c r="BQ872" s="22"/>
      <c r="BR872" s="22"/>
      <c r="BS872" s="22"/>
    </row>
    <row r="873">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c r="BE873" s="22"/>
      <c r="BF873" s="22"/>
      <c r="BG873" s="22"/>
      <c r="BH873" s="22"/>
      <c r="BI873" s="22"/>
      <c r="BJ873" s="22"/>
      <c r="BK873" s="22"/>
      <c r="BL873" s="22"/>
      <c r="BM873" s="22"/>
      <c r="BN873" s="22"/>
      <c r="BO873" s="22"/>
      <c r="BP873" s="22"/>
      <c r="BQ873" s="22"/>
      <c r="BR873" s="22"/>
      <c r="BS873" s="22"/>
    </row>
    <row r="874">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22"/>
      <c r="BF874" s="22"/>
      <c r="BG874" s="22"/>
      <c r="BH874" s="22"/>
      <c r="BI874" s="22"/>
      <c r="BJ874" s="22"/>
      <c r="BK874" s="22"/>
      <c r="BL874" s="22"/>
      <c r="BM874" s="22"/>
      <c r="BN874" s="22"/>
      <c r="BO874" s="22"/>
      <c r="BP874" s="22"/>
      <c r="BQ874" s="22"/>
      <c r="BR874" s="22"/>
      <c r="BS874" s="22"/>
    </row>
    <row r="875">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c r="BE875" s="22"/>
      <c r="BF875" s="22"/>
      <c r="BG875" s="22"/>
      <c r="BH875" s="22"/>
      <c r="BI875" s="22"/>
      <c r="BJ875" s="22"/>
      <c r="BK875" s="22"/>
      <c r="BL875" s="22"/>
      <c r="BM875" s="22"/>
      <c r="BN875" s="22"/>
      <c r="BO875" s="22"/>
      <c r="BP875" s="22"/>
      <c r="BQ875" s="22"/>
      <c r="BR875" s="22"/>
      <c r="BS875" s="22"/>
    </row>
    <row r="876">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c r="BE876" s="22"/>
      <c r="BF876" s="22"/>
      <c r="BG876" s="22"/>
      <c r="BH876" s="22"/>
      <c r="BI876" s="22"/>
      <c r="BJ876" s="22"/>
      <c r="BK876" s="22"/>
      <c r="BL876" s="22"/>
      <c r="BM876" s="22"/>
      <c r="BN876" s="22"/>
      <c r="BO876" s="22"/>
      <c r="BP876" s="22"/>
      <c r="BQ876" s="22"/>
      <c r="BR876" s="22"/>
      <c r="BS876" s="22"/>
    </row>
    <row r="877">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22"/>
      <c r="BF877" s="22"/>
      <c r="BG877" s="22"/>
      <c r="BH877" s="22"/>
      <c r="BI877" s="22"/>
      <c r="BJ877" s="22"/>
      <c r="BK877" s="22"/>
      <c r="BL877" s="22"/>
      <c r="BM877" s="22"/>
      <c r="BN877" s="22"/>
      <c r="BO877" s="22"/>
      <c r="BP877" s="22"/>
      <c r="BQ877" s="22"/>
      <c r="BR877" s="22"/>
      <c r="BS877" s="22"/>
    </row>
    <row r="878">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22"/>
      <c r="BF878" s="22"/>
      <c r="BG878" s="22"/>
      <c r="BH878" s="22"/>
      <c r="BI878" s="22"/>
      <c r="BJ878" s="22"/>
      <c r="BK878" s="22"/>
      <c r="BL878" s="22"/>
      <c r="BM878" s="22"/>
      <c r="BN878" s="22"/>
      <c r="BO878" s="22"/>
      <c r="BP878" s="22"/>
      <c r="BQ878" s="22"/>
      <c r="BR878" s="22"/>
      <c r="BS878" s="22"/>
    </row>
    <row r="879">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22"/>
      <c r="BF879" s="22"/>
      <c r="BG879" s="22"/>
      <c r="BH879" s="22"/>
      <c r="BI879" s="22"/>
      <c r="BJ879" s="22"/>
      <c r="BK879" s="22"/>
      <c r="BL879" s="22"/>
      <c r="BM879" s="22"/>
      <c r="BN879" s="22"/>
      <c r="BO879" s="22"/>
      <c r="BP879" s="22"/>
      <c r="BQ879" s="22"/>
      <c r="BR879" s="22"/>
      <c r="BS879" s="22"/>
    </row>
    <row r="880">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c r="BE880" s="22"/>
      <c r="BF880" s="22"/>
      <c r="BG880" s="22"/>
      <c r="BH880" s="22"/>
      <c r="BI880" s="22"/>
      <c r="BJ880" s="22"/>
      <c r="BK880" s="22"/>
      <c r="BL880" s="22"/>
      <c r="BM880" s="22"/>
      <c r="BN880" s="22"/>
      <c r="BO880" s="22"/>
      <c r="BP880" s="22"/>
      <c r="BQ880" s="22"/>
      <c r="BR880" s="22"/>
      <c r="BS880" s="22"/>
    </row>
    <row r="881">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22"/>
      <c r="BF881" s="22"/>
      <c r="BG881" s="22"/>
      <c r="BH881" s="22"/>
      <c r="BI881" s="22"/>
      <c r="BJ881" s="22"/>
      <c r="BK881" s="22"/>
      <c r="BL881" s="22"/>
      <c r="BM881" s="22"/>
      <c r="BN881" s="22"/>
      <c r="BO881" s="22"/>
      <c r="BP881" s="22"/>
      <c r="BQ881" s="22"/>
      <c r="BR881" s="22"/>
      <c r="BS881" s="22"/>
    </row>
    <row r="88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22"/>
      <c r="BF882" s="22"/>
      <c r="BG882" s="22"/>
      <c r="BH882" s="22"/>
      <c r="BI882" s="22"/>
      <c r="BJ882" s="22"/>
      <c r="BK882" s="22"/>
      <c r="BL882" s="22"/>
      <c r="BM882" s="22"/>
      <c r="BN882" s="22"/>
      <c r="BO882" s="22"/>
      <c r="BP882" s="22"/>
      <c r="BQ882" s="22"/>
      <c r="BR882" s="22"/>
      <c r="BS882" s="22"/>
    </row>
    <row r="883">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22"/>
      <c r="BF883" s="22"/>
      <c r="BG883" s="22"/>
      <c r="BH883" s="22"/>
      <c r="BI883" s="22"/>
      <c r="BJ883" s="22"/>
      <c r="BK883" s="22"/>
      <c r="BL883" s="22"/>
      <c r="BM883" s="22"/>
      <c r="BN883" s="22"/>
      <c r="BO883" s="22"/>
      <c r="BP883" s="22"/>
      <c r="BQ883" s="22"/>
      <c r="BR883" s="22"/>
      <c r="BS883" s="22"/>
    </row>
    <row r="884">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22"/>
      <c r="BF884" s="22"/>
      <c r="BG884" s="22"/>
      <c r="BH884" s="22"/>
      <c r="BI884" s="22"/>
      <c r="BJ884" s="22"/>
      <c r="BK884" s="22"/>
      <c r="BL884" s="22"/>
      <c r="BM884" s="22"/>
      <c r="BN884" s="22"/>
      <c r="BO884" s="22"/>
      <c r="BP884" s="22"/>
      <c r="BQ884" s="22"/>
      <c r="BR884" s="22"/>
      <c r="BS884" s="22"/>
    </row>
    <row r="885">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22"/>
      <c r="BF885" s="22"/>
      <c r="BG885" s="22"/>
      <c r="BH885" s="22"/>
      <c r="BI885" s="22"/>
      <c r="BJ885" s="22"/>
      <c r="BK885" s="22"/>
      <c r="BL885" s="22"/>
      <c r="BM885" s="22"/>
      <c r="BN885" s="22"/>
      <c r="BO885" s="22"/>
      <c r="BP885" s="22"/>
      <c r="BQ885" s="22"/>
      <c r="BR885" s="22"/>
      <c r="BS885" s="22"/>
    </row>
    <row r="886">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c r="BE886" s="22"/>
      <c r="BF886" s="22"/>
      <c r="BG886" s="22"/>
      <c r="BH886" s="22"/>
      <c r="BI886" s="22"/>
      <c r="BJ886" s="22"/>
      <c r="BK886" s="22"/>
      <c r="BL886" s="22"/>
      <c r="BM886" s="22"/>
      <c r="BN886" s="22"/>
      <c r="BO886" s="22"/>
      <c r="BP886" s="22"/>
      <c r="BQ886" s="22"/>
      <c r="BR886" s="22"/>
      <c r="BS886" s="22"/>
    </row>
    <row r="887">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c r="BE887" s="22"/>
      <c r="BF887" s="22"/>
      <c r="BG887" s="22"/>
      <c r="BH887" s="22"/>
      <c r="BI887" s="22"/>
      <c r="BJ887" s="22"/>
      <c r="BK887" s="22"/>
      <c r="BL887" s="22"/>
      <c r="BM887" s="22"/>
      <c r="BN887" s="22"/>
      <c r="BO887" s="22"/>
      <c r="BP887" s="22"/>
      <c r="BQ887" s="22"/>
      <c r="BR887" s="22"/>
      <c r="BS887" s="22"/>
    </row>
    <row r="888">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c r="BE888" s="22"/>
      <c r="BF888" s="22"/>
      <c r="BG888" s="22"/>
      <c r="BH888" s="22"/>
      <c r="BI888" s="22"/>
      <c r="BJ888" s="22"/>
      <c r="BK888" s="22"/>
      <c r="BL888" s="22"/>
      <c r="BM888" s="22"/>
      <c r="BN888" s="22"/>
      <c r="BO888" s="22"/>
      <c r="BP888" s="22"/>
      <c r="BQ888" s="22"/>
      <c r="BR888" s="22"/>
      <c r="BS888" s="22"/>
    </row>
    <row r="889">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c r="BE889" s="22"/>
      <c r="BF889" s="22"/>
      <c r="BG889" s="22"/>
      <c r="BH889" s="22"/>
      <c r="BI889" s="22"/>
      <c r="BJ889" s="22"/>
      <c r="BK889" s="22"/>
      <c r="BL889" s="22"/>
      <c r="BM889" s="22"/>
      <c r="BN889" s="22"/>
      <c r="BO889" s="22"/>
      <c r="BP889" s="22"/>
      <c r="BQ889" s="22"/>
      <c r="BR889" s="22"/>
      <c r="BS889" s="22"/>
    </row>
    <row r="890">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22"/>
      <c r="BF890" s="22"/>
      <c r="BG890" s="22"/>
      <c r="BH890" s="22"/>
      <c r="BI890" s="22"/>
      <c r="BJ890" s="22"/>
      <c r="BK890" s="22"/>
      <c r="BL890" s="22"/>
      <c r="BM890" s="22"/>
      <c r="BN890" s="22"/>
      <c r="BO890" s="22"/>
      <c r="BP890" s="22"/>
      <c r="BQ890" s="22"/>
      <c r="BR890" s="22"/>
      <c r="BS890" s="22"/>
    </row>
    <row r="891">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c r="BE891" s="22"/>
      <c r="BF891" s="22"/>
      <c r="BG891" s="22"/>
      <c r="BH891" s="22"/>
      <c r="BI891" s="22"/>
      <c r="BJ891" s="22"/>
      <c r="BK891" s="22"/>
      <c r="BL891" s="22"/>
      <c r="BM891" s="22"/>
      <c r="BN891" s="22"/>
      <c r="BO891" s="22"/>
      <c r="BP891" s="22"/>
      <c r="BQ891" s="22"/>
      <c r="BR891" s="22"/>
      <c r="BS891" s="22"/>
    </row>
    <row r="89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22"/>
      <c r="BF892" s="22"/>
      <c r="BG892" s="22"/>
      <c r="BH892" s="22"/>
      <c r="BI892" s="22"/>
      <c r="BJ892" s="22"/>
      <c r="BK892" s="22"/>
      <c r="BL892" s="22"/>
      <c r="BM892" s="22"/>
      <c r="BN892" s="22"/>
      <c r="BO892" s="22"/>
      <c r="BP892" s="22"/>
      <c r="BQ892" s="22"/>
      <c r="BR892" s="22"/>
      <c r="BS892" s="22"/>
    </row>
    <row r="893">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22"/>
      <c r="BF893" s="22"/>
      <c r="BG893" s="22"/>
      <c r="BH893" s="22"/>
      <c r="BI893" s="22"/>
      <c r="BJ893" s="22"/>
      <c r="BK893" s="22"/>
      <c r="BL893" s="22"/>
      <c r="BM893" s="22"/>
      <c r="BN893" s="22"/>
      <c r="BO893" s="22"/>
      <c r="BP893" s="22"/>
      <c r="BQ893" s="22"/>
      <c r="BR893" s="22"/>
      <c r="BS893" s="22"/>
    </row>
    <row r="894">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22"/>
      <c r="BF894" s="22"/>
      <c r="BG894" s="22"/>
      <c r="BH894" s="22"/>
      <c r="BI894" s="22"/>
      <c r="BJ894" s="22"/>
      <c r="BK894" s="22"/>
      <c r="BL894" s="22"/>
      <c r="BM894" s="22"/>
      <c r="BN894" s="22"/>
      <c r="BO894" s="22"/>
      <c r="BP894" s="22"/>
      <c r="BQ894" s="22"/>
      <c r="BR894" s="22"/>
      <c r="BS894" s="22"/>
    </row>
    <row r="895">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c r="BE895" s="22"/>
      <c r="BF895" s="22"/>
      <c r="BG895" s="22"/>
      <c r="BH895" s="22"/>
      <c r="BI895" s="22"/>
      <c r="BJ895" s="22"/>
      <c r="BK895" s="22"/>
      <c r="BL895" s="22"/>
      <c r="BM895" s="22"/>
      <c r="BN895" s="22"/>
      <c r="BO895" s="22"/>
      <c r="BP895" s="22"/>
      <c r="BQ895" s="22"/>
      <c r="BR895" s="22"/>
      <c r="BS895" s="22"/>
    </row>
    <row r="896">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22"/>
      <c r="BF896" s="22"/>
      <c r="BG896" s="22"/>
      <c r="BH896" s="22"/>
      <c r="BI896" s="22"/>
      <c r="BJ896" s="22"/>
      <c r="BK896" s="22"/>
      <c r="BL896" s="22"/>
      <c r="BM896" s="22"/>
      <c r="BN896" s="22"/>
      <c r="BO896" s="22"/>
      <c r="BP896" s="22"/>
      <c r="BQ896" s="22"/>
      <c r="BR896" s="22"/>
      <c r="BS896" s="22"/>
    </row>
    <row r="897">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c r="BE897" s="22"/>
      <c r="BF897" s="22"/>
      <c r="BG897" s="22"/>
      <c r="BH897" s="22"/>
      <c r="BI897" s="22"/>
      <c r="BJ897" s="22"/>
      <c r="BK897" s="22"/>
      <c r="BL897" s="22"/>
      <c r="BM897" s="22"/>
      <c r="BN897" s="22"/>
      <c r="BO897" s="22"/>
      <c r="BP897" s="22"/>
      <c r="BQ897" s="22"/>
      <c r="BR897" s="22"/>
      <c r="BS897" s="22"/>
    </row>
    <row r="898">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22"/>
      <c r="BF898" s="22"/>
      <c r="BG898" s="22"/>
      <c r="BH898" s="22"/>
      <c r="BI898" s="22"/>
      <c r="BJ898" s="22"/>
      <c r="BK898" s="22"/>
      <c r="BL898" s="22"/>
      <c r="BM898" s="22"/>
      <c r="BN898" s="22"/>
      <c r="BO898" s="22"/>
      <c r="BP898" s="22"/>
      <c r="BQ898" s="22"/>
      <c r="BR898" s="22"/>
      <c r="BS898" s="22"/>
    </row>
    <row r="899">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22"/>
      <c r="BF899" s="22"/>
      <c r="BG899" s="22"/>
      <c r="BH899" s="22"/>
      <c r="BI899" s="22"/>
      <c r="BJ899" s="22"/>
      <c r="BK899" s="22"/>
      <c r="BL899" s="22"/>
      <c r="BM899" s="22"/>
      <c r="BN899" s="22"/>
      <c r="BO899" s="22"/>
      <c r="BP899" s="22"/>
      <c r="BQ899" s="22"/>
      <c r="BR899" s="22"/>
      <c r="BS899" s="22"/>
    </row>
    <row r="900">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c r="BE900" s="22"/>
      <c r="BF900" s="22"/>
      <c r="BG900" s="22"/>
      <c r="BH900" s="22"/>
      <c r="BI900" s="22"/>
      <c r="BJ900" s="22"/>
      <c r="BK900" s="22"/>
      <c r="BL900" s="22"/>
      <c r="BM900" s="22"/>
      <c r="BN900" s="22"/>
      <c r="BO900" s="22"/>
      <c r="BP900" s="22"/>
      <c r="BQ900" s="22"/>
      <c r="BR900" s="22"/>
      <c r="BS900" s="22"/>
    </row>
    <row r="901">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c r="BE901" s="22"/>
      <c r="BF901" s="22"/>
      <c r="BG901" s="22"/>
      <c r="BH901" s="22"/>
      <c r="BI901" s="22"/>
      <c r="BJ901" s="22"/>
      <c r="BK901" s="22"/>
      <c r="BL901" s="22"/>
      <c r="BM901" s="22"/>
      <c r="BN901" s="22"/>
      <c r="BO901" s="22"/>
      <c r="BP901" s="22"/>
      <c r="BQ901" s="22"/>
      <c r="BR901" s="22"/>
      <c r="BS901" s="22"/>
    </row>
    <row r="90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22"/>
      <c r="BF902" s="22"/>
      <c r="BG902" s="22"/>
      <c r="BH902" s="22"/>
      <c r="BI902" s="22"/>
      <c r="BJ902" s="22"/>
      <c r="BK902" s="22"/>
      <c r="BL902" s="22"/>
      <c r="BM902" s="22"/>
      <c r="BN902" s="22"/>
      <c r="BO902" s="22"/>
      <c r="BP902" s="22"/>
      <c r="BQ902" s="22"/>
      <c r="BR902" s="22"/>
      <c r="BS902" s="22"/>
    </row>
    <row r="903">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c r="BE903" s="22"/>
      <c r="BF903" s="22"/>
      <c r="BG903" s="22"/>
      <c r="BH903" s="22"/>
      <c r="BI903" s="22"/>
      <c r="BJ903" s="22"/>
      <c r="BK903" s="22"/>
      <c r="BL903" s="22"/>
      <c r="BM903" s="22"/>
      <c r="BN903" s="22"/>
      <c r="BO903" s="22"/>
      <c r="BP903" s="22"/>
      <c r="BQ903" s="22"/>
      <c r="BR903" s="22"/>
      <c r="BS903" s="22"/>
    </row>
    <row r="904">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c r="BE904" s="22"/>
      <c r="BF904" s="22"/>
      <c r="BG904" s="22"/>
      <c r="BH904" s="22"/>
      <c r="BI904" s="22"/>
      <c r="BJ904" s="22"/>
      <c r="BK904" s="22"/>
      <c r="BL904" s="22"/>
      <c r="BM904" s="22"/>
      <c r="BN904" s="22"/>
      <c r="BO904" s="22"/>
      <c r="BP904" s="22"/>
      <c r="BQ904" s="22"/>
      <c r="BR904" s="22"/>
      <c r="BS904" s="22"/>
    </row>
    <row r="905">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22"/>
      <c r="BF905" s="22"/>
      <c r="BG905" s="22"/>
      <c r="BH905" s="22"/>
      <c r="BI905" s="22"/>
      <c r="BJ905" s="22"/>
      <c r="BK905" s="22"/>
      <c r="BL905" s="22"/>
      <c r="BM905" s="22"/>
      <c r="BN905" s="22"/>
      <c r="BO905" s="22"/>
      <c r="BP905" s="22"/>
      <c r="BQ905" s="22"/>
      <c r="BR905" s="22"/>
      <c r="BS905" s="22"/>
    </row>
    <row r="906">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22"/>
      <c r="BF906" s="22"/>
      <c r="BG906" s="22"/>
      <c r="BH906" s="22"/>
      <c r="BI906" s="22"/>
      <c r="BJ906" s="22"/>
      <c r="BK906" s="22"/>
      <c r="BL906" s="22"/>
      <c r="BM906" s="22"/>
      <c r="BN906" s="22"/>
      <c r="BO906" s="22"/>
      <c r="BP906" s="22"/>
      <c r="BQ906" s="22"/>
      <c r="BR906" s="22"/>
      <c r="BS906" s="22"/>
    </row>
    <row r="907">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c r="BE907" s="22"/>
      <c r="BF907" s="22"/>
      <c r="BG907" s="22"/>
      <c r="BH907" s="22"/>
      <c r="BI907" s="22"/>
      <c r="BJ907" s="22"/>
      <c r="BK907" s="22"/>
      <c r="BL907" s="22"/>
      <c r="BM907" s="22"/>
      <c r="BN907" s="22"/>
      <c r="BO907" s="22"/>
      <c r="BP907" s="22"/>
      <c r="BQ907" s="22"/>
      <c r="BR907" s="22"/>
      <c r="BS907" s="22"/>
    </row>
    <row r="908">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c r="BE908" s="22"/>
      <c r="BF908" s="22"/>
      <c r="BG908" s="22"/>
      <c r="BH908" s="22"/>
      <c r="BI908" s="22"/>
      <c r="BJ908" s="22"/>
      <c r="BK908" s="22"/>
      <c r="BL908" s="22"/>
      <c r="BM908" s="22"/>
      <c r="BN908" s="22"/>
      <c r="BO908" s="22"/>
      <c r="BP908" s="22"/>
      <c r="BQ908" s="22"/>
      <c r="BR908" s="22"/>
      <c r="BS908" s="22"/>
    </row>
    <row r="909">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c r="BE909" s="22"/>
      <c r="BF909" s="22"/>
      <c r="BG909" s="22"/>
      <c r="BH909" s="22"/>
      <c r="BI909" s="22"/>
      <c r="BJ909" s="22"/>
      <c r="BK909" s="22"/>
      <c r="BL909" s="22"/>
      <c r="BM909" s="22"/>
      <c r="BN909" s="22"/>
      <c r="BO909" s="22"/>
      <c r="BP909" s="22"/>
      <c r="BQ909" s="22"/>
      <c r="BR909" s="22"/>
      <c r="BS909" s="22"/>
    </row>
    <row r="910">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c r="BD910" s="22"/>
      <c r="BE910" s="22"/>
      <c r="BF910" s="22"/>
      <c r="BG910" s="22"/>
      <c r="BH910" s="22"/>
      <c r="BI910" s="22"/>
      <c r="BJ910" s="22"/>
      <c r="BK910" s="22"/>
      <c r="BL910" s="22"/>
      <c r="BM910" s="22"/>
      <c r="BN910" s="22"/>
      <c r="BO910" s="22"/>
      <c r="BP910" s="22"/>
      <c r="BQ910" s="22"/>
      <c r="BR910" s="22"/>
      <c r="BS910" s="22"/>
    </row>
    <row r="911">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c r="BD911" s="22"/>
      <c r="BE911" s="22"/>
      <c r="BF911" s="22"/>
      <c r="BG911" s="22"/>
      <c r="BH911" s="22"/>
      <c r="BI911" s="22"/>
      <c r="BJ911" s="22"/>
      <c r="BK911" s="22"/>
      <c r="BL911" s="22"/>
      <c r="BM911" s="22"/>
      <c r="BN911" s="22"/>
      <c r="BO911" s="22"/>
      <c r="BP911" s="22"/>
      <c r="BQ911" s="22"/>
      <c r="BR911" s="22"/>
      <c r="BS911" s="22"/>
    </row>
    <row r="91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c r="BD912" s="22"/>
      <c r="BE912" s="22"/>
      <c r="BF912" s="22"/>
      <c r="BG912" s="22"/>
      <c r="BH912" s="22"/>
      <c r="BI912" s="22"/>
      <c r="BJ912" s="22"/>
      <c r="BK912" s="22"/>
      <c r="BL912" s="22"/>
      <c r="BM912" s="22"/>
      <c r="BN912" s="22"/>
      <c r="BO912" s="22"/>
      <c r="BP912" s="22"/>
      <c r="BQ912" s="22"/>
      <c r="BR912" s="22"/>
      <c r="BS912" s="22"/>
    </row>
    <row r="913">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c r="BD913" s="22"/>
      <c r="BE913" s="22"/>
      <c r="BF913" s="22"/>
      <c r="BG913" s="22"/>
      <c r="BH913" s="22"/>
      <c r="BI913" s="22"/>
      <c r="BJ913" s="22"/>
      <c r="BK913" s="22"/>
      <c r="BL913" s="22"/>
      <c r="BM913" s="22"/>
      <c r="BN913" s="22"/>
      <c r="BO913" s="22"/>
      <c r="BP913" s="22"/>
      <c r="BQ913" s="22"/>
      <c r="BR913" s="22"/>
      <c r="BS913" s="22"/>
    </row>
    <row r="914">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c r="BD914" s="22"/>
      <c r="BE914" s="22"/>
      <c r="BF914" s="22"/>
      <c r="BG914" s="22"/>
      <c r="BH914" s="22"/>
      <c r="BI914" s="22"/>
      <c r="BJ914" s="22"/>
      <c r="BK914" s="22"/>
      <c r="BL914" s="22"/>
      <c r="BM914" s="22"/>
      <c r="BN914" s="22"/>
      <c r="BO914" s="22"/>
      <c r="BP914" s="22"/>
      <c r="BQ914" s="22"/>
      <c r="BR914" s="22"/>
      <c r="BS914" s="22"/>
    </row>
    <row r="915">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c r="BD915" s="22"/>
      <c r="BE915" s="22"/>
      <c r="BF915" s="22"/>
      <c r="BG915" s="22"/>
      <c r="BH915" s="22"/>
      <c r="BI915" s="22"/>
      <c r="BJ915" s="22"/>
      <c r="BK915" s="22"/>
      <c r="BL915" s="22"/>
      <c r="BM915" s="22"/>
      <c r="BN915" s="22"/>
      <c r="BO915" s="22"/>
      <c r="BP915" s="22"/>
      <c r="BQ915" s="22"/>
      <c r="BR915" s="22"/>
      <c r="BS915" s="22"/>
    </row>
    <row r="916">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c r="BD916" s="22"/>
      <c r="BE916" s="22"/>
      <c r="BF916" s="22"/>
      <c r="BG916" s="22"/>
      <c r="BH916" s="22"/>
      <c r="BI916" s="22"/>
      <c r="BJ916" s="22"/>
      <c r="BK916" s="22"/>
      <c r="BL916" s="22"/>
      <c r="BM916" s="22"/>
      <c r="BN916" s="22"/>
      <c r="BO916" s="22"/>
      <c r="BP916" s="22"/>
      <c r="BQ916" s="22"/>
      <c r="BR916" s="22"/>
      <c r="BS916" s="22"/>
    </row>
    <row r="917">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c r="BD917" s="22"/>
      <c r="BE917" s="22"/>
      <c r="BF917" s="22"/>
      <c r="BG917" s="22"/>
      <c r="BH917" s="22"/>
      <c r="BI917" s="22"/>
      <c r="BJ917" s="22"/>
      <c r="BK917" s="22"/>
      <c r="BL917" s="22"/>
      <c r="BM917" s="22"/>
      <c r="BN917" s="22"/>
      <c r="BO917" s="22"/>
      <c r="BP917" s="22"/>
      <c r="BQ917" s="22"/>
      <c r="BR917" s="22"/>
      <c r="BS917" s="22"/>
    </row>
    <row r="918">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c r="BE918" s="22"/>
      <c r="BF918" s="22"/>
      <c r="BG918" s="22"/>
      <c r="BH918" s="22"/>
      <c r="BI918" s="22"/>
      <c r="BJ918" s="22"/>
      <c r="BK918" s="22"/>
      <c r="BL918" s="22"/>
      <c r="BM918" s="22"/>
      <c r="BN918" s="22"/>
      <c r="BO918" s="22"/>
      <c r="BP918" s="22"/>
      <c r="BQ918" s="22"/>
      <c r="BR918" s="22"/>
      <c r="BS918" s="22"/>
    </row>
    <row r="919">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c r="BD919" s="22"/>
      <c r="BE919" s="22"/>
      <c r="BF919" s="22"/>
      <c r="BG919" s="22"/>
      <c r="BH919" s="22"/>
      <c r="BI919" s="22"/>
      <c r="BJ919" s="22"/>
      <c r="BK919" s="22"/>
      <c r="BL919" s="22"/>
      <c r="BM919" s="22"/>
      <c r="BN919" s="22"/>
      <c r="BO919" s="22"/>
      <c r="BP919" s="22"/>
      <c r="BQ919" s="22"/>
      <c r="BR919" s="22"/>
      <c r="BS919" s="22"/>
    </row>
    <row r="920">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c r="BD920" s="22"/>
      <c r="BE920" s="22"/>
      <c r="BF920" s="22"/>
      <c r="BG920" s="22"/>
      <c r="BH920" s="22"/>
      <c r="BI920" s="22"/>
      <c r="BJ920" s="22"/>
      <c r="BK920" s="22"/>
      <c r="BL920" s="22"/>
      <c r="BM920" s="22"/>
      <c r="BN920" s="22"/>
      <c r="BO920" s="22"/>
      <c r="BP920" s="22"/>
      <c r="BQ920" s="22"/>
      <c r="BR920" s="22"/>
      <c r="BS920" s="22"/>
    </row>
    <row r="921">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c r="BE921" s="22"/>
      <c r="BF921" s="22"/>
      <c r="BG921" s="22"/>
      <c r="BH921" s="22"/>
      <c r="BI921" s="22"/>
      <c r="BJ921" s="22"/>
      <c r="BK921" s="22"/>
      <c r="BL921" s="22"/>
      <c r="BM921" s="22"/>
      <c r="BN921" s="22"/>
      <c r="BO921" s="22"/>
      <c r="BP921" s="22"/>
      <c r="BQ921" s="22"/>
      <c r="BR921" s="22"/>
      <c r="BS921" s="22"/>
    </row>
    <row r="9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c r="BD922" s="22"/>
      <c r="BE922" s="22"/>
      <c r="BF922" s="22"/>
      <c r="BG922" s="22"/>
      <c r="BH922" s="22"/>
      <c r="BI922" s="22"/>
      <c r="BJ922" s="22"/>
      <c r="BK922" s="22"/>
      <c r="BL922" s="22"/>
      <c r="BM922" s="22"/>
      <c r="BN922" s="22"/>
      <c r="BO922" s="22"/>
      <c r="BP922" s="22"/>
      <c r="BQ922" s="22"/>
      <c r="BR922" s="22"/>
      <c r="BS922" s="22"/>
    </row>
    <row r="923">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c r="BD923" s="22"/>
      <c r="BE923" s="22"/>
      <c r="BF923" s="22"/>
      <c r="BG923" s="22"/>
      <c r="BH923" s="22"/>
      <c r="BI923" s="22"/>
      <c r="BJ923" s="22"/>
      <c r="BK923" s="22"/>
      <c r="BL923" s="22"/>
      <c r="BM923" s="22"/>
      <c r="BN923" s="22"/>
      <c r="BO923" s="22"/>
      <c r="BP923" s="22"/>
      <c r="BQ923" s="22"/>
      <c r="BR923" s="22"/>
      <c r="BS923" s="22"/>
    </row>
    <row r="924">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c r="BE924" s="22"/>
      <c r="BF924" s="22"/>
      <c r="BG924" s="22"/>
      <c r="BH924" s="22"/>
      <c r="BI924" s="22"/>
      <c r="BJ924" s="22"/>
      <c r="BK924" s="22"/>
      <c r="BL924" s="22"/>
      <c r="BM924" s="22"/>
      <c r="BN924" s="22"/>
      <c r="BO924" s="22"/>
      <c r="BP924" s="22"/>
      <c r="BQ924" s="22"/>
      <c r="BR924" s="22"/>
      <c r="BS924" s="22"/>
    </row>
    <row r="925">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c r="BE925" s="22"/>
      <c r="BF925" s="22"/>
      <c r="BG925" s="22"/>
      <c r="BH925" s="22"/>
      <c r="BI925" s="22"/>
      <c r="BJ925" s="22"/>
      <c r="BK925" s="22"/>
      <c r="BL925" s="22"/>
      <c r="BM925" s="22"/>
      <c r="BN925" s="22"/>
      <c r="BO925" s="22"/>
      <c r="BP925" s="22"/>
      <c r="BQ925" s="22"/>
      <c r="BR925" s="22"/>
      <c r="BS925" s="22"/>
    </row>
    <row r="926">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c r="BD926" s="22"/>
      <c r="BE926" s="22"/>
      <c r="BF926" s="22"/>
      <c r="BG926" s="22"/>
      <c r="BH926" s="22"/>
      <c r="BI926" s="22"/>
      <c r="BJ926" s="22"/>
      <c r="BK926" s="22"/>
      <c r="BL926" s="22"/>
      <c r="BM926" s="22"/>
      <c r="BN926" s="22"/>
      <c r="BO926" s="22"/>
      <c r="BP926" s="22"/>
      <c r="BQ926" s="22"/>
      <c r="BR926" s="22"/>
      <c r="BS926" s="22"/>
    </row>
    <row r="927">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c r="BD927" s="22"/>
      <c r="BE927" s="22"/>
      <c r="BF927" s="22"/>
      <c r="BG927" s="22"/>
      <c r="BH927" s="22"/>
      <c r="BI927" s="22"/>
      <c r="BJ927" s="22"/>
      <c r="BK927" s="22"/>
      <c r="BL927" s="22"/>
      <c r="BM927" s="22"/>
      <c r="BN927" s="22"/>
      <c r="BO927" s="22"/>
      <c r="BP927" s="22"/>
      <c r="BQ927" s="22"/>
      <c r="BR927" s="22"/>
      <c r="BS927" s="22"/>
    </row>
    <row r="928">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c r="BD928" s="22"/>
      <c r="BE928" s="22"/>
      <c r="BF928" s="22"/>
      <c r="BG928" s="22"/>
      <c r="BH928" s="22"/>
      <c r="BI928" s="22"/>
      <c r="BJ928" s="22"/>
      <c r="BK928" s="22"/>
      <c r="BL928" s="22"/>
      <c r="BM928" s="22"/>
      <c r="BN928" s="22"/>
      <c r="BO928" s="22"/>
      <c r="BP928" s="22"/>
      <c r="BQ928" s="22"/>
      <c r="BR928" s="22"/>
      <c r="BS928" s="22"/>
    </row>
    <row r="929">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c r="BD929" s="22"/>
      <c r="BE929" s="22"/>
      <c r="BF929" s="22"/>
      <c r="BG929" s="22"/>
      <c r="BH929" s="22"/>
      <c r="BI929" s="22"/>
      <c r="BJ929" s="22"/>
      <c r="BK929" s="22"/>
      <c r="BL929" s="22"/>
      <c r="BM929" s="22"/>
      <c r="BN929" s="22"/>
      <c r="BO929" s="22"/>
      <c r="BP929" s="22"/>
      <c r="BQ929" s="22"/>
      <c r="BR929" s="22"/>
      <c r="BS929" s="22"/>
    </row>
    <row r="930">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c r="BD930" s="22"/>
      <c r="BE930" s="22"/>
      <c r="BF930" s="22"/>
      <c r="BG930" s="22"/>
      <c r="BH930" s="22"/>
      <c r="BI930" s="22"/>
      <c r="BJ930" s="22"/>
      <c r="BK930" s="22"/>
      <c r="BL930" s="22"/>
      <c r="BM930" s="22"/>
      <c r="BN930" s="22"/>
      <c r="BO930" s="22"/>
      <c r="BP930" s="22"/>
      <c r="BQ930" s="22"/>
      <c r="BR930" s="22"/>
      <c r="BS930" s="22"/>
    </row>
    <row r="931">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c r="BD931" s="22"/>
      <c r="BE931" s="22"/>
      <c r="BF931" s="22"/>
      <c r="BG931" s="22"/>
      <c r="BH931" s="22"/>
      <c r="BI931" s="22"/>
      <c r="BJ931" s="22"/>
      <c r="BK931" s="22"/>
      <c r="BL931" s="22"/>
      <c r="BM931" s="22"/>
      <c r="BN931" s="22"/>
      <c r="BO931" s="22"/>
      <c r="BP931" s="22"/>
      <c r="BQ931" s="22"/>
      <c r="BR931" s="22"/>
      <c r="BS931" s="22"/>
    </row>
    <row r="93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c r="BD932" s="22"/>
      <c r="BE932" s="22"/>
      <c r="BF932" s="22"/>
      <c r="BG932" s="22"/>
      <c r="BH932" s="22"/>
      <c r="BI932" s="22"/>
      <c r="BJ932" s="22"/>
      <c r="BK932" s="22"/>
      <c r="BL932" s="22"/>
      <c r="BM932" s="22"/>
      <c r="BN932" s="22"/>
      <c r="BO932" s="22"/>
      <c r="BP932" s="22"/>
      <c r="BQ932" s="22"/>
      <c r="BR932" s="22"/>
      <c r="BS932" s="22"/>
    </row>
    <row r="933">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c r="BD933" s="22"/>
      <c r="BE933" s="22"/>
      <c r="BF933" s="22"/>
      <c r="BG933" s="22"/>
      <c r="BH933" s="22"/>
      <c r="BI933" s="22"/>
      <c r="BJ933" s="22"/>
      <c r="BK933" s="22"/>
      <c r="BL933" s="22"/>
      <c r="BM933" s="22"/>
      <c r="BN933" s="22"/>
      <c r="BO933" s="22"/>
      <c r="BP933" s="22"/>
      <c r="BQ933" s="22"/>
      <c r="BR933" s="22"/>
      <c r="BS933" s="22"/>
    </row>
    <row r="934">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c r="BD934" s="22"/>
      <c r="BE934" s="22"/>
      <c r="BF934" s="22"/>
      <c r="BG934" s="22"/>
      <c r="BH934" s="22"/>
      <c r="BI934" s="22"/>
      <c r="BJ934" s="22"/>
      <c r="BK934" s="22"/>
      <c r="BL934" s="22"/>
      <c r="BM934" s="22"/>
      <c r="BN934" s="22"/>
      <c r="BO934" s="22"/>
      <c r="BP934" s="22"/>
      <c r="BQ934" s="22"/>
      <c r="BR934" s="22"/>
      <c r="BS934" s="22"/>
    </row>
    <row r="935">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c r="BD935" s="22"/>
      <c r="BE935" s="22"/>
      <c r="BF935" s="22"/>
      <c r="BG935" s="22"/>
      <c r="BH935" s="22"/>
      <c r="BI935" s="22"/>
      <c r="BJ935" s="22"/>
      <c r="BK935" s="22"/>
      <c r="BL935" s="22"/>
      <c r="BM935" s="22"/>
      <c r="BN935" s="22"/>
      <c r="BO935" s="22"/>
      <c r="BP935" s="22"/>
      <c r="BQ935" s="22"/>
      <c r="BR935" s="22"/>
      <c r="BS935" s="22"/>
    </row>
    <row r="936">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c r="BD936" s="22"/>
      <c r="BE936" s="22"/>
      <c r="BF936" s="22"/>
      <c r="BG936" s="22"/>
      <c r="BH936" s="22"/>
      <c r="BI936" s="22"/>
      <c r="BJ936" s="22"/>
      <c r="BK936" s="22"/>
      <c r="BL936" s="22"/>
      <c r="BM936" s="22"/>
      <c r="BN936" s="22"/>
      <c r="BO936" s="22"/>
      <c r="BP936" s="22"/>
      <c r="BQ936" s="22"/>
      <c r="BR936" s="22"/>
      <c r="BS936" s="22"/>
    </row>
    <row r="937">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c r="BD937" s="22"/>
      <c r="BE937" s="22"/>
      <c r="BF937" s="22"/>
      <c r="BG937" s="22"/>
      <c r="BH937" s="22"/>
      <c r="BI937" s="22"/>
      <c r="BJ937" s="22"/>
      <c r="BK937" s="22"/>
      <c r="BL937" s="22"/>
      <c r="BM937" s="22"/>
      <c r="BN937" s="22"/>
      <c r="BO937" s="22"/>
      <c r="BP937" s="22"/>
      <c r="BQ937" s="22"/>
      <c r="BR937" s="22"/>
      <c r="BS937" s="22"/>
    </row>
    <row r="938">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c r="BD938" s="22"/>
      <c r="BE938" s="22"/>
      <c r="BF938" s="22"/>
      <c r="BG938" s="22"/>
      <c r="BH938" s="22"/>
      <c r="BI938" s="22"/>
      <c r="BJ938" s="22"/>
      <c r="BK938" s="22"/>
      <c r="BL938" s="22"/>
      <c r="BM938" s="22"/>
      <c r="BN938" s="22"/>
      <c r="BO938" s="22"/>
      <c r="BP938" s="22"/>
      <c r="BQ938" s="22"/>
      <c r="BR938" s="22"/>
      <c r="BS938" s="22"/>
    </row>
    <row r="939">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c r="BD939" s="22"/>
      <c r="BE939" s="22"/>
      <c r="BF939" s="22"/>
      <c r="BG939" s="22"/>
      <c r="BH939" s="22"/>
      <c r="BI939" s="22"/>
      <c r="BJ939" s="22"/>
      <c r="BK939" s="22"/>
      <c r="BL939" s="22"/>
      <c r="BM939" s="22"/>
      <c r="BN939" s="22"/>
      <c r="BO939" s="22"/>
      <c r="BP939" s="22"/>
      <c r="BQ939" s="22"/>
      <c r="BR939" s="22"/>
      <c r="BS939" s="22"/>
    </row>
    <row r="940">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c r="BE940" s="22"/>
      <c r="BF940" s="22"/>
      <c r="BG940" s="22"/>
      <c r="BH940" s="22"/>
      <c r="BI940" s="22"/>
      <c r="BJ940" s="22"/>
      <c r="BK940" s="22"/>
      <c r="BL940" s="22"/>
      <c r="BM940" s="22"/>
      <c r="BN940" s="22"/>
      <c r="BO940" s="22"/>
      <c r="BP940" s="22"/>
      <c r="BQ940" s="22"/>
      <c r="BR940" s="22"/>
      <c r="BS940" s="22"/>
    </row>
    <row r="941">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c r="BD941" s="22"/>
      <c r="BE941" s="22"/>
      <c r="BF941" s="22"/>
      <c r="BG941" s="22"/>
      <c r="BH941" s="22"/>
      <c r="BI941" s="22"/>
      <c r="BJ941" s="22"/>
      <c r="BK941" s="22"/>
      <c r="BL941" s="22"/>
      <c r="BM941" s="22"/>
      <c r="BN941" s="22"/>
      <c r="BO941" s="22"/>
      <c r="BP941" s="22"/>
      <c r="BQ941" s="22"/>
      <c r="BR941" s="22"/>
      <c r="BS941" s="22"/>
    </row>
    <row r="94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c r="BE942" s="22"/>
      <c r="BF942" s="22"/>
      <c r="BG942" s="22"/>
      <c r="BH942" s="22"/>
      <c r="BI942" s="22"/>
      <c r="BJ942" s="22"/>
      <c r="BK942" s="22"/>
      <c r="BL942" s="22"/>
      <c r="BM942" s="22"/>
      <c r="BN942" s="22"/>
      <c r="BO942" s="22"/>
      <c r="BP942" s="22"/>
      <c r="BQ942" s="22"/>
      <c r="BR942" s="22"/>
      <c r="BS942" s="22"/>
    </row>
    <row r="943">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c r="BD943" s="22"/>
      <c r="BE943" s="22"/>
      <c r="BF943" s="22"/>
      <c r="BG943" s="22"/>
      <c r="BH943" s="22"/>
      <c r="BI943" s="22"/>
      <c r="BJ943" s="22"/>
      <c r="BK943" s="22"/>
      <c r="BL943" s="22"/>
      <c r="BM943" s="22"/>
      <c r="BN943" s="22"/>
      <c r="BO943" s="22"/>
      <c r="BP943" s="22"/>
      <c r="BQ943" s="22"/>
      <c r="BR943" s="22"/>
      <c r="BS943" s="22"/>
    </row>
    <row r="944">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c r="BD944" s="22"/>
      <c r="BE944" s="22"/>
      <c r="BF944" s="22"/>
      <c r="BG944" s="22"/>
      <c r="BH944" s="22"/>
      <c r="BI944" s="22"/>
      <c r="BJ944" s="22"/>
      <c r="BK944" s="22"/>
      <c r="BL944" s="22"/>
      <c r="BM944" s="22"/>
      <c r="BN944" s="22"/>
      <c r="BO944" s="22"/>
      <c r="BP944" s="22"/>
      <c r="BQ944" s="22"/>
      <c r="BR944" s="22"/>
      <c r="BS944" s="22"/>
    </row>
    <row r="945">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c r="BD945" s="22"/>
      <c r="BE945" s="22"/>
      <c r="BF945" s="22"/>
      <c r="BG945" s="22"/>
      <c r="BH945" s="22"/>
      <c r="BI945" s="22"/>
      <c r="BJ945" s="22"/>
      <c r="BK945" s="22"/>
      <c r="BL945" s="22"/>
      <c r="BM945" s="22"/>
      <c r="BN945" s="22"/>
      <c r="BO945" s="22"/>
      <c r="BP945" s="22"/>
      <c r="BQ945" s="22"/>
      <c r="BR945" s="22"/>
      <c r="BS945" s="22"/>
    </row>
    <row r="946">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c r="BD946" s="22"/>
      <c r="BE946" s="22"/>
      <c r="BF946" s="22"/>
      <c r="BG946" s="22"/>
      <c r="BH946" s="22"/>
      <c r="BI946" s="22"/>
      <c r="BJ946" s="22"/>
      <c r="BK946" s="22"/>
      <c r="BL946" s="22"/>
      <c r="BM946" s="22"/>
      <c r="BN946" s="22"/>
      <c r="BO946" s="22"/>
      <c r="BP946" s="22"/>
      <c r="BQ946" s="22"/>
      <c r="BR946" s="22"/>
      <c r="BS946" s="22"/>
    </row>
    <row r="947">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c r="BD947" s="22"/>
      <c r="BE947" s="22"/>
      <c r="BF947" s="22"/>
      <c r="BG947" s="22"/>
      <c r="BH947" s="22"/>
      <c r="BI947" s="22"/>
      <c r="BJ947" s="22"/>
      <c r="BK947" s="22"/>
      <c r="BL947" s="22"/>
      <c r="BM947" s="22"/>
      <c r="BN947" s="22"/>
      <c r="BO947" s="22"/>
      <c r="BP947" s="22"/>
      <c r="BQ947" s="22"/>
      <c r="BR947" s="22"/>
      <c r="BS947" s="22"/>
    </row>
    <row r="948">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c r="BD948" s="22"/>
      <c r="BE948" s="22"/>
      <c r="BF948" s="22"/>
      <c r="BG948" s="22"/>
      <c r="BH948" s="22"/>
      <c r="BI948" s="22"/>
      <c r="BJ948" s="22"/>
      <c r="BK948" s="22"/>
      <c r="BL948" s="22"/>
      <c r="BM948" s="22"/>
      <c r="BN948" s="22"/>
      <c r="BO948" s="22"/>
      <c r="BP948" s="22"/>
      <c r="BQ948" s="22"/>
      <c r="BR948" s="22"/>
      <c r="BS948" s="22"/>
    </row>
    <row r="949">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c r="BD949" s="22"/>
      <c r="BE949" s="22"/>
      <c r="BF949" s="22"/>
      <c r="BG949" s="22"/>
      <c r="BH949" s="22"/>
      <c r="BI949" s="22"/>
      <c r="BJ949" s="22"/>
      <c r="BK949" s="22"/>
      <c r="BL949" s="22"/>
      <c r="BM949" s="22"/>
      <c r="BN949" s="22"/>
      <c r="BO949" s="22"/>
      <c r="BP949" s="22"/>
      <c r="BQ949" s="22"/>
      <c r="BR949" s="22"/>
      <c r="BS949" s="22"/>
    </row>
    <row r="950">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c r="BD950" s="22"/>
      <c r="BE950" s="22"/>
      <c r="BF950" s="22"/>
      <c r="BG950" s="22"/>
      <c r="BH950" s="22"/>
      <c r="BI950" s="22"/>
      <c r="BJ950" s="22"/>
      <c r="BK950" s="22"/>
      <c r="BL950" s="22"/>
      <c r="BM950" s="22"/>
      <c r="BN950" s="22"/>
      <c r="BO950" s="22"/>
      <c r="BP950" s="22"/>
      <c r="BQ950" s="22"/>
      <c r="BR950" s="22"/>
      <c r="BS950" s="22"/>
    </row>
    <row r="951">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c r="BD951" s="22"/>
      <c r="BE951" s="22"/>
      <c r="BF951" s="22"/>
      <c r="BG951" s="22"/>
      <c r="BH951" s="22"/>
      <c r="BI951" s="22"/>
      <c r="BJ951" s="22"/>
      <c r="BK951" s="22"/>
      <c r="BL951" s="22"/>
      <c r="BM951" s="22"/>
      <c r="BN951" s="22"/>
      <c r="BO951" s="22"/>
      <c r="BP951" s="22"/>
      <c r="BQ951" s="22"/>
      <c r="BR951" s="22"/>
      <c r="BS951" s="22"/>
    </row>
    <row r="95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c r="BD952" s="22"/>
      <c r="BE952" s="22"/>
      <c r="BF952" s="22"/>
      <c r="BG952" s="22"/>
      <c r="BH952" s="22"/>
      <c r="BI952" s="22"/>
      <c r="BJ952" s="22"/>
      <c r="BK952" s="22"/>
      <c r="BL952" s="22"/>
      <c r="BM952" s="22"/>
      <c r="BN952" s="22"/>
      <c r="BO952" s="22"/>
      <c r="BP952" s="22"/>
      <c r="BQ952" s="22"/>
      <c r="BR952" s="22"/>
      <c r="BS952" s="22"/>
    </row>
    <row r="953">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c r="BD953" s="22"/>
      <c r="BE953" s="22"/>
      <c r="BF953" s="22"/>
      <c r="BG953" s="22"/>
      <c r="BH953" s="22"/>
      <c r="BI953" s="22"/>
      <c r="BJ953" s="22"/>
      <c r="BK953" s="22"/>
      <c r="BL953" s="22"/>
      <c r="BM953" s="22"/>
      <c r="BN953" s="22"/>
      <c r="BO953" s="22"/>
      <c r="BP953" s="22"/>
      <c r="BQ953" s="22"/>
      <c r="BR953" s="22"/>
      <c r="BS953" s="22"/>
    </row>
    <row r="954">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c r="BD954" s="22"/>
      <c r="BE954" s="22"/>
      <c r="BF954" s="22"/>
      <c r="BG954" s="22"/>
      <c r="BH954" s="22"/>
      <c r="BI954" s="22"/>
      <c r="BJ954" s="22"/>
      <c r="BK954" s="22"/>
      <c r="BL954" s="22"/>
      <c r="BM954" s="22"/>
      <c r="BN954" s="22"/>
      <c r="BO954" s="22"/>
      <c r="BP954" s="22"/>
      <c r="BQ954" s="22"/>
      <c r="BR954" s="22"/>
      <c r="BS954" s="22"/>
    </row>
    <row r="955">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c r="BD955" s="22"/>
      <c r="BE955" s="22"/>
      <c r="BF955" s="22"/>
      <c r="BG955" s="22"/>
      <c r="BH955" s="22"/>
      <c r="BI955" s="22"/>
      <c r="BJ955" s="22"/>
      <c r="BK955" s="22"/>
      <c r="BL955" s="22"/>
      <c r="BM955" s="22"/>
      <c r="BN955" s="22"/>
      <c r="BO955" s="22"/>
      <c r="BP955" s="22"/>
      <c r="BQ955" s="22"/>
      <c r="BR955" s="22"/>
      <c r="BS955" s="22"/>
    </row>
    <row r="956">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c r="BD956" s="22"/>
      <c r="BE956" s="22"/>
      <c r="BF956" s="22"/>
      <c r="BG956" s="22"/>
      <c r="BH956" s="22"/>
      <c r="BI956" s="22"/>
      <c r="BJ956" s="22"/>
      <c r="BK956" s="22"/>
      <c r="BL956" s="22"/>
      <c r="BM956" s="22"/>
      <c r="BN956" s="22"/>
      <c r="BO956" s="22"/>
      <c r="BP956" s="22"/>
      <c r="BQ956" s="22"/>
      <c r="BR956" s="22"/>
      <c r="BS956" s="22"/>
    </row>
    <row r="957">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c r="BD957" s="22"/>
      <c r="BE957" s="22"/>
      <c r="BF957" s="22"/>
      <c r="BG957" s="22"/>
      <c r="BH957" s="22"/>
      <c r="BI957" s="22"/>
      <c r="BJ957" s="22"/>
      <c r="BK957" s="22"/>
      <c r="BL957" s="22"/>
      <c r="BM957" s="22"/>
      <c r="BN957" s="22"/>
      <c r="BO957" s="22"/>
      <c r="BP957" s="22"/>
      <c r="BQ957" s="22"/>
      <c r="BR957" s="22"/>
      <c r="BS957" s="22"/>
    </row>
    <row r="958">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c r="BD958" s="22"/>
      <c r="BE958" s="22"/>
      <c r="BF958" s="22"/>
      <c r="BG958" s="22"/>
      <c r="BH958" s="22"/>
      <c r="BI958" s="22"/>
      <c r="BJ958" s="22"/>
      <c r="BK958" s="22"/>
      <c r="BL958" s="22"/>
      <c r="BM958" s="22"/>
      <c r="BN958" s="22"/>
      <c r="BO958" s="22"/>
      <c r="BP958" s="22"/>
      <c r="BQ958" s="22"/>
      <c r="BR958" s="22"/>
      <c r="BS958" s="22"/>
    </row>
    <row r="959">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c r="BD959" s="22"/>
      <c r="BE959" s="22"/>
      <c r="BF959" s="22"/>
      <c r="BG959" s="22"/>
      <c r="BH959" s="22"/>
      <c r="BI959" s="22"/>
      <c r="BJ959" s="22"/>
      <c r="BK959" s="22"/>
      <c r="BL959" s="22"/>
      <c r="BM959" s="22"/>
      <c r="BN959" s="22"/>
      <c r="BO959" s="22"/>
      <c r="BP959" s="22"/>
      <c r="BQ959" s="22"/>
      <c r="BR959" s="22"/>
      <c r="BS959" s="22"/>
    </row>
    <row r="960">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c r="BD960" s="22"/>
      <c r="BE960" s="22"/>
      <c r="BF960" s="22"/>
      <c r="BG960" s="22"/>
      <c r="BH960" s="22"/>
      <c r="BI960" s="22"/>
      <c r="BJ960" s="22"/>
      <c r="BK960" s="22"/>
      <c r="BL960" s="22"/>
      <c r="BM960" s="22"/>
      <c r="BN960" s="22"/>
      <c r="BO960" s="22"/>
      <c r="BP960" s="22"/>
      <c r="BQ960" s="22"/>
      <c r="BR960" s="22"/>
      <c r="BS960" s="22"/>
    </row>
    <row r="961">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c r="BD961" s="22"/>
      <c r="BE961" s="22"/>
      <c r="BF961" s="22"/>
      <c r="BG961" s="22"/>
      <c r="BH961" s="22"/>
      <c r="BI961" s="22"/>
      <c r="BJ961" s="22"/>
      <c r="BK961" s="22"/>
      <c r="BL961" s="22"/>
      <c r="BM961" s="22"/>
      <c r="BN961" s="22"/>
      <c r="BO961" s="22"/>
      <c r="BP961" s="22"/>
      <c r="BQ961" s="22"/>
      <c r="BR961" s="22"/>
      <c r="BS961" s="22"/>
    </row>
    <row r="96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c r="BD962" s="22"/>
      <c r="BE962" s="22"/>
      <c r="BF962" s="22"/>
      <c r="BG962" s="22"/>
      <c r="BH962" s="22"/>
      <c r="BI962" s="22"/>
      <c r="BJ962" s="22"/>
      <c r="BK962" s="22"/>
      <c r="BL962" s="22"/>
      <c r="BM962" s="22"/>
      <c r="BN962" s="22"/>
      <c r="BO962" s="22"/>
      <c r="BP962" s="22"/>
      <c r="BQ962" s="22"/>
      <c r="BR962" s="22"/>
      <c r="BS962" s="22"/>
    </row>
    <row r="963">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c r="BD963" s="22"/>
      <c r="BE963" s="22"/>
      <c r="BF963" s="22"/>
      <c r="BG963" s="22"/>
      <c r="BH963" s="22"/>
      <c r="BI963" s="22"/>
      <c r="BJ963" s="22"/>
      <c r="BK963" s="22"/>
      <c r="BL963" s="22"/>
      <c r="BM963" s="22"/>
      <c r="BN963" s="22"/>
      <c r="BO963" s="22"/>
      <c r="BP963" s="22"/>
      <c r="BQ963" s="22"/>
      <c r="BR963" s="22"/>
      <c r="BS963" s="22"/>
    </row>
    <row r="964">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c r="BD964" s="22"/>
      <c r="BE964" s="22"/>
      <c r="BF964" s="22"/>
      <c r="BG964" s="22"/>
      <c r="BH964" s="22"/>
      <c r="BI964" s="22"/>
      <c r="BJ964" s="22"/>
      <c r="BK964" s="22"/>
      <c r="BL964" s="22"/>
      <c r="BM964" s="22"/>
      <c r="BN964" s="22"/>
      <c r="BO964" s="22"/>
      <c r="BP964" s="22"/>
      <c r="BQ964" s="22"/>
      <c r="BR964" s="22"/>
      <c r="BS964" s="22"/>
    </row>
    <row r="965">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c r="BD965" s="22"/>
      <c r="BE965" s="22"/>
      <c r="BF965" s="22"/>
      <c r="BG965" s="22"/>
      <c r="BH965" s="22"/>
      <c r="BI965" s="22"/>
      <c r="BJ965" s="22"/>
      <c r="BK965" s="22"/>
      <c r="BL965" s="22"/>
      <c r="BM965" s="22"/>
      <c r="BN965" s="22"/>
      <c r="BO965" s="22"/>
      <c r="BP965" s="22"/>
      <c r="BQ965" s="22"/>
      <c r="BR965" s="22"/>
      <c r="BS965" s="22"/>
    </row>
    <row r="966">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c r="BD966" s="22"/>
      <c r="BE966" s="22"/>
      <c r="BF966" s="22"/>
      <c r="BG966" s="22"/>
      <c r="BH966" s="22"/>
      <c r="BI966" s="22"/>
      <c r="BJ966" s="22"/>
      <c r="BK966" s="22"/>
      <c r="BL966" s="22"/>
      <c r="BM966" s="22"/>
      <c r="BN966" s="22"/>
      <c r="BO966" s="22"/>
      <c r="BP966" s="22"/>
      <c r="BQ966" s="22"/>
      <c r="BR966" s="22"/>
      <c r="BS966" s="22"/>
    </row>
    <row r="967">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c r="BD967" s="22"/>
      <c r="BE967" s="22"/>
      <c r="BF967" s="22"/>
      <c r="BG967" s="22"/>
      <c r="BH967" s="22"/>
      <c r="BI967" s="22"/>
      <c r="BJ967" s="22"/>
      <c r="BK967" s="22"/>
      <c r="BL967" s="22"/>
      <c r="BM967" s="22"/>
      <c r="BN967" s="22"/>
      <c r="BO967" s="22"/>
      <c r="BP967" s="22"/>
      <c r="BQ967" s="22"/>
      <c r="BR967" s="22"/>
      <c r="BS967" s="22"/>
    </row>
    <row r="968">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c r="BD968" s="22"/>
      <c r="BE968" s="22"/>
      <c r="BF968" s="22"/>
      <c r="BG968" s="22"/>
      <c r="BH968" s="22"/>
      <c r="BI968" s="22"/>
      <c r="BJ968" s="22"/>
      <c r="BK968" s="22"/>
      <c r="BL968" s="22"/>
      <c r="BM968" s="22"/>
      <c r="BN968" s="22"/>
      <c r="BO968" s="22"/>
      <c r="BP968" s="22"/>
      <c r="BQ968" s="22"/>
      <c r="BR968" s="22"/>
      <c r="BS968" s="22"/>
    </row>
    <row r="969">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c r="BD969" s="22"/>
      <c r="BE969" s="22"/>
      <c r="BF969" s="22"/>
      <c r="BG969" s="22"/>
      <c r="BH969" s="22"/>
      <c r="BI969" s="22"/>
      <c r="BJ969" s="22"/>
      <c r="BK969" s="22"/>
      <c r="BL969" s="22"/>
      <c r="BM969" s="22"/>
      <c r="BN969" s="22"/>
      <c r="BO969" s="22"/>
      <c r="BP969" s="22"/>
      <c r="BQ969" s="22"/>
      <c r="BR969" s="22"/>
      <c r="BS969" s="22"/>
    </row>
    <row r="970">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c r="BD970" s="22"/>
      <c r="BE970" s="22"/>
      <c r="BF970" s="22"/>
      <c r="BG970" s="22"/>
      <c r="BH970" s="22"/>
      <c r="BI970" s="22"/>
      <c r="BJ970" s="22"/>
      <c r="BK970" s="22"/>
      <c r="BL970" s="22"/>
      <c r="BM970" s="22"/>
      <c r="BN970" s="22"/>
      <c r="BO970" s="22"/>
      <c r="BP970" s="22"/>
      <c r="BQ970" s="22"/>
      <c r="BR970" s="22"/>
      <c r="BS970" s="22"/>
    </row>
    <row r="971">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c r="BD971" s="22"/>
      <c r="BE971" s="22"/>
      <c r="BF971" s="22"/>
      <c r="BG971" s="22"/>
      <c r="BH971" s="22"/>
      <c r="BI971" s="22"/>
      <c r="BJ971" s="22"/>
      <c r="BK971" s="22"/>
      <c r="BL971" s="22"/>
      <c r="BM971" s="22"/>
      <c r="BN971" s="22"/>
      <c r="BO971" s="22"/>
      <c r="BP971" s="22"/>
      <c r="BQ971" s="22"/>
      <c r="BR971" s="22"/>
      <c r="BS971" s="22"/>
    </row>
    <row r="97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c r="BD972" s="22"/>
      <c r="BE972" s="22"/>
      <c r="BF972" s="22"/>
      <c r="BG972" s="22"/>
      <c r="BH972" s="22"/>
      <c r="BI972" s="22"/>
      <c r="BJ972" s="22"/>
      <c r="BK972" s="22"/>
      <c r="BL972" s="22"/>
      <c r="BM972" s="22"/>
      <c r="BN972" s="22"/>
      <c r="BO972" s="22"/>
      <c r="BP972" s="22"/>
      <c r="BQ972" s="22"/>
      <c r="BR972" s="22"/>
      <c r="BS972" s="22"/>
    </row>
    <row r="973">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c r="BD973" s="22"/>
      <c r="BE973" s="22"/>
      <c r="BF973" s="22"/>
      <c r="BG973" s="22"/>
      <c r="BH973" s="22"/>
      <c r="BI973" s="22"/>
      <c r="BJ973" s="22"/>
      <c r="BK973" s="22"/>
      <c r="BL973" s="22"/>
      <c r="BM973" s="22"/>
      <c r="BN973" s="22"/>
      <c r="BO973" s="22"/>
      <c r="BP973" s="22"/>
      <c r="BQ973" s="22"/>
      <c r="BR973" s="22"/>
      <c r="BS973" s="22"/>
    </row>
    <row r="974">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c r="BD974" s="22"/>
      <c r="BE974" s="22"/>
      <c r="BF974" s="22"/>
      <c r="BG974" s="22"/>
      <c r="BH974" s="22"/>
      <c r="BI974" s="22"/>
      <c r="BJ974" s="22"/>
      <c r="BK974" s="22"/>
      <c r="BL974" s="22"/>
      <c r="BM974" s="22"/>
      <c r="BN974" s="22"/>
      <c r="BO974" s="22"/>
      <c r="BP974" s="22"/>
      <c r="BQ974" s="22"/>
      <c r="BR974" s="22"/>
      <c r="BS974" s="22"/>
    </row>
    <row r="975">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c r="BD975" s="22"/>
      <c r="BE975" s="22"/>
      <c r="BF975" s="22"/>
      <c r="BG975" s="22"/>
      <c r="BH975" s="22"/>
      <c r="BI975" s="22"/>
      <c r="BJ975" s="22"/>
      <c r="BK975" s="22"/>
      <c r="BL975" s="22"/>
      <c r="BM975" s="22"/>
      <c r="BN975" s="22"/>
      <c r="BO975" s="22"/>
      <c r="BP975" s="22"/>
      <c r="BQ975" s="22"/>
      <c r="BR975" s="22"/>
      <c r="BS975" s="22"/>
    </row>
    <row r="976">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c r="BD976" s="22"/>
      <c r="BE976" s="22"/>
      <c r="BF976" s="22"/>
      <c r="BG976" s="22"/>
      <c r="BH976" s="22"/>
      <c r="BI976" s="22"/>
      <c r="BJ976" s="22"/>
      <c r="BK976" s="22"/>
      <c r="BL976" s="22"/>
      <c r="BM976" s="22"/>
      <c r="BN976" s="22"/>
      <c r="BO976" s="22"/>
      <c r="BP976" s="22"/>
      <c r="BQ976" s="22"/>
      <c r="BR976" s="22"/>
      <c r="BS976" s="22"/>
    </row>
    <row r="977">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c r="BD977" s="22"/>
      <c r="BE977" s="22"/>
      <c r="BF977" s="22"/>
      <c r="BG977" s="22"/>
      <c r="BH977" s="22"/>
      <c r="BI977" s="22"/>
      <c r="BJ977" s="22"/>
      <c r="BK977" s="22"/>
      <c r="BL977" s="22"/>
      <c r="BM977" s="22"/>
      <c r="BN977" s="22"/>
      <c r="BO977" s="22"/>
      <c r="BP977" s="22"/>
      <c r="BQ977" s="22"/>
      <c r="BR977" s="22"/>
      <c r="BS977" s="22"/>
    </row>
    <row r="978">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c r="BD978" s="22"/>
      <c r="BE978" s="22"/>
      <c r="BF978" s="22"/>
      <c r="BG978" s="22"/>
      <c r="BH978" s="22"/>
      <c r="BI978" s="22"/>
      <c r="BJ978" s="22"/>
      <c r="BK978" s="22"/>
      <c r="BL978" s="22"/>
      <c r="BM978" s="22"/>
      <c r="BN978" s="22"/>
      <c r="BO978" s="22"/>
      <c r="BP978" s="22"/>
      <c r="BQ978" s="22"/>
      <c r="BR978" s="22"/>
      <c r="BS978" s="22"/>
    </row>
    <row r="979">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c r="BD979" s="22"/>
      <c r="BE979" s="22"/>
      <c r="BF979" s="22"/>
      <c r="BG979" s="22"/>
      <c r="BH979" s="22"/>
      <c r="BI979" s="22"/>
      <c r="BJ979" s="22"/>
      <c r="BK979" s="22"/>
      <c r="BL979" s="22"/>
      <c r="BM979" s="22"/>
      <c r="BN979" s="22"/>
      <c r="BO979" s="22"/>
      <c r="BP979" s="22"/>
      <c r="BQ979" s="22"/>
      <c r="BR979" s="22"/>
      <c r="BS979" s="22"/>
    </row>
    <row r="980">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c r="BD980" s="22"/>
      <c r="BE980" s="22"/>
      <c r="BF980" s="22"/>
      <c r="BG980" s="22"/>
      <c r="BH980" s="22"/>
      <c r="BI980" s="22"/>
      <c r="BJ980" s="22"/>
      <c r="BK980" s="22"/>
      <c r="BL980" s="22"/>
      <c r="BM980" s="22"/>
      <c r="BN980" s="22"/>
      <c r="BO980" s="22"/>
      <c r="BP980" s="22"/>
      <c r="BQ980" s="22"/>
      <c r="BR980" s="22"/>
      <c r="BS980" s="22"/>
    </row>
    <row r="981">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c r="BD981" s="22"/>
      <c r="BE981" s="22"/>
      <c r="BF981" s="22"/>
      <c r="BG981" s="22"/>
      <c r="BH981" s="22"/>
      <c r="BI981" s="22"/>
      <c r="BJ981" s="22"/>
      <c r="BK981" s="22"/>
      <c r="BL981" s="22"/>
      <c r="BM981" s="22"/>
      <c r="BN981" s="22"/>
      <c r="BO981" s="22"/>
      <c r="BP981" s="22"/>
      <c r="BQ981" s="22"/>
      <c r="BR981" s="22"/>
      <c r="BS981" s="22"/>
    </row>
    <row r="98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c r="BD982" s="22"/>
      <c r="BE982" s="22"/>
      <c r="BF982" s="22"/>
      <c r="BG982" s="22"/>
      <c r="BH982" s="22"/>
      <c r="BI982" s="22"/>
      <c r="BJ982" s="22"/>
      <c r="BK982" s="22"/>
      <c r="BL982" s="22"/>
      <c r="BM982" s="22"/>
      <c r="BN982" s="22"/>
      <c r="BO982" s="22"/>
      <c r="BP982" s="22"/>
      <c r="BQ982" s="22"/>
      <c r="BR982" s="22"/>
      <c r="BS982" s="22"/>
    </row>
    <row r="983">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c r="BD983" s="22"/>
      <c r="BE983" s="22"/>
      <c r="BF983" s="22"/>
      <c r="BG983" s="22"/>
      <c r="BH983" s="22"/>
      <c r="BI983" s="22"/>
      <c r="BJ983" s="22"/>
      <c r="BK983" s="22"/>
      <c r="BL983" s="22"/>
      <c r="BM983" s="22"/>
      <c r="BN983" s="22"/>
      <c r="BO983" s="22"/>
      <c r="BP983" s="22"/>
      <c r="BQ983" s="22"/>
      <c r="BR983" s="22"/>
      <c r="BS983" s="22"/>
    </row>
    <row r="984">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c r="BD984" s="22"/>
      <c r="BE984" s="22"/>
      <c r="BF984" s="22"/>
      <c r="BG984" s="22"/>
      <c r="BH984" s="22"/>
      <c r="BI984" s="22"/>
      <c r="BJ984" s="22"/>
      <c r="BK984" s="22"/>
      <c r="BL984" s="22"/>
      <c r="BM984" s="22"/>
      <c r="BN984" s="22"/>
      <c r="BO984" s="22"/>
      <c r="BP984" s="22"/>
      <c r="BQ984" s="22"/>
      <c r="BR984" s="22"/>
      <c r="BS984" s="22"/>
    </row>
    <row r="985">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c r="BD985" s="22"/>
      <c r="BE985" s="22"/>
      <c r="BF985" s="22"/>
      <c r="BG985" s="22"/>
      <c r="BH985" s="22"/>
      <c r="BI985" s="22"/>
      <c r="BJ985" s="22"/>
      <c r="BK985" s="22"/>
      <c r="BL985" s="22"/>
      <c r="BM985" s="22"/>
      <c r="BN985" s="22"/>
      <c r="BO985" s="22"/>
      <c r="BP985" s="22"/>
      <c r="BQ985" s="22"/>
      <c r="BR985" s="22"/>
      <c r="BS985" s="22"/>
    </row>
    <row r="986">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c r="BD986" s="22"/>
      <c r="BE986" s="22"/>
      <c r="BF986" s="22"/>
      <c r="BG986" s="22"/>
      <c r="BH986" s="22"/>
      <c r="BI986" s="22"/>
      <c r="BJ986" s="22"/>
      <c r="BK986" s="22"/>
      <c r="BL986" s="22"/>
      <c r="BM986" s="22"/>
      <c r="BN986" s="22"/>
      <c r="BO986" s="22"/>
      <c r="BP986" s="22"/>
      <c r="BQ986" s="22"/>
      <c r="BR986" s="22"/>
      <c r="BS986" s="22"/>
    </row>
    <row r="987">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c r="BD987" s="22"/>
      <c r="BE987" s="22"/>
      <c r="BF987" s="22"/>
      <c r="BG987" s="22"/>
      <c r="BH987" s="22"/>
      <c r="BI987" s="22"/>
      <c r="BJ987" s="22"/>
      <c r="BK987" s="22"/>
      <c r="BL987" s="22"/>
      <c r="BM987" s="22"/>
      <c r="BN987" s="22"/>
      <c r="BO987" s="22"/>
      <c r="BP987" s="22"/>
      <c r="BQ987" s="22"/>
      <c r="BR987" s="22"/>
      <c r="BS987" s="22"/>
    </row>
    <row r="988">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c r="BD988" s="22"/>
      <c r="BE988" s="22"/>
      <c r="BF988" s="22"/>
      <c r="BG988" s="22"/>
      <c r="BH988" s="22"/>
      <c r="BI988" s="22"/>
      <c r="BJ988" s="22"/>
      <c r="BK988" s="22"/>
      <c r="BL988" s="22"/>
      <c r="BM988" s="22"/>
      <c r="BN988" s="22"/>
      <c r="BO988" s="22"/>
      <c r="BP988" s="22"/>
      <c r="BQ988" s="22"/>
      <c r="BR988" s="22"/>
      <c r="BS988" s="22"/>
    </row>
    <row r="989">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c r="BD989" s="22"/>
      <c r="BE989" s="22"/>
      <c r="BF989" s="22"/>
      <c r="BG989" s="22"/>
      <c r="BH989" s="22"/>
      <c r="BI989" s="22"/>
      <c r="BJ989" s="22"/>
      <c r="BK989" s="22"/>
      <c r="BL989" s="22"/>
      <c r="BM989" s="22"/>
      <c r="BN989" s="22"/>
      <c r="BO989" s="22"/>
      <c r="BP989" s="22"/>
      <c r="BQ989" s="22"/>
      <c r="BR989" s="22"/>
      <c r="BS989" s="22"/>
    </row>
    <row r="990">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c r="BD990" s="22"/>
      <c r="BE990" s="22"/>
      <c r="BF990" s="22"/>
      <c r="BG990" s="22"/>
      <c r="BH990" s="22"/>
      <c r="BI990" s="22"/>
      <c r="BJ990" s="22"/>
      <c r="BK990" s="22"/>
      <c r="BL990" s="22"/>
      <c r="BM990" s="22"/>
      <c r="BN990" s="22"/>
      <c r="BO990" s="22"/>
      <c r="BP990" s="22"/>
      <c r="BQ990" s="22"/>
      <c r="BR990" s="22"/>
      <c r="BS990" s="22"/>
    </row>
    <row r="991">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c r="BD991" s="22"/>
      <c r="BE991" s="22"/>
      <c r="BF991" s="22"/>
      <c r="BG991" s="22"/>
      <c r="BH991" s="22"/>
      <c r="BI991" s="22"/>
      <c r="BJ991" s="22"/>
      <c r="BK991" s="22"/>
      <c r="BL991" s="22"/>
      <c r="BM991" s="22"/>
      <c r="BN991" s="22"/>
      <c r="BO991" s="22"/>
      <c r="BP991" s="22"/>
      <c r="BQ991" s="22"/>
      <c r="BR991" s="22"/>
      <c r="BS991" s="22"/>
    </row>
    <row r="99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c r="BD992" s="22"/>
      <c r="BE992" s="22"/>
      <c r="BF992" s="22"/>
      <c r="BG992" s="22"/>
      <c r="BH992" s="22"/>
      <c r="BI992" s="22"/>
      <c r="BJ992" s="22"/>
      <c r="BK992" s="22"/>
      <c r="BL992" s="22"/>
      <c r="BM992" s="22"/>
      <c r="BN992" s="22"/>
      <c r="BO992" s="22"/>
      <c r="BP992" s="22"/>
      <c r="BQ992" s="22"/>
      <c r="BR992" s="22"/>
      <c r="BS992" s="22"/>
    </row>
    <row r="993">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c r="BD993" s="22"/>
      <c r="BE993" s="22"/>
      <c r="BF993" s="22"/>
      <c r="BG993" s="22"/>
      <c r="BH993" s="22"/>
      <c r="BI993" s="22"/>
      <c r="BJ993" s="22"/>
      <c r="BK993" s="22"/>
      <c r="BL993" s="22"/>
      <c r="BM993" s="22"/>
      <c r="BN993" s="22"/>
      <c r="BO993" s="22"/>
      <c r="BP993" s="22"/>
      <c r="BQ993" s="22"/>
      <c r="BR993" s="22"/>
      <c r="BS993" s="22"/>
    </row>
    <row r="994">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c r="BD994" s="22"/>
      <c r="BE994" s="22"/>
      <c r="BF994" s="22"/>
      <c r="BG994" s="22"/>
      <c r="BH994" s="22"/>
      <c r="BI994" s="22"/>
      <c r="BJ994" s="22"/>
      <c r="BK994" s="22"/>
      <c r="BL994" s="22"/>
      <c r="BM994" s="22"/>
      <c r="BN994" s="22"/>
      <c r="BO994" s="22"/>
      <c r="BP994" s="22"/>
      <c r="BQ994" s="22"/>
      <c r="BR994" s="22"/>
      <c r="BS994" s="22"/>
    </row>
    <row r="995">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c r="BD995" s="22"/>
      <c r="BE995" s="22"/>
      <c r="BF995" s="22"/>
      <c r="BG995" s="22"/>
      <c r="BH995" s="22"/>
      <c r="BI995" s="22"/>
      <c r="BJ995" s="22"/>
      <c r="BK995" s="22"/>
      <c r="BL995" s="22"/>
      <c r="BM995" s="22"/>
      <c r="BN995" s="22"/>
      <c r="BO995" s="22"/>
      <c r="BP995" s="22"/>
      <c r="BQ995" s="22"/>
      <c r="BR995" s="22"/>
      <c r="BS995" s="22"/>
    </row>
    <row r="996">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c r="BD996" s="22"/>
      <c r="BE996" s="22"/>
      <c r="BF996" s="22"/>
      <c r="BG996" s="22"/>
      <c r="BH996" s="22"/>
      <c r="BI996" s="22"/>
      <c r="BJ996" s="22"/>
      <c r="BK996" s="22"/>
      <c r="BL996" s="22"/>
      <c r="BM996" s="22"/>
      <c r="BN996" s="22"/>
      <c r="BO996" s="22"/>
      <c r="BP996" s="22"/>
      <c r="BQ996" s="22"/>
      <c r="BR996" s="22"/>
      <c r="BS996" s="22"/>
    </row>
    <row r="997">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c r="BD997" s="22"/>
      <c r="BE997" s="22"/>
      <c r="BF997" s="22"/>
      <c r="BG997" s="22"/>
      <c r="BH997" s="22"/>
      <c r="BI997" s="22"/>
      <c r="BJ997" s="22"/>
      <c r="BK997" s="22"/>
      <c r="BL997" s="22"/>
      <c r="BM997" s="22"/>
      <c r="BN997" s="22"/>
      <c r="BO997" s="22"/>
      <c r="BP997" s="22"/>
      <c r="BQ997" s="22"/>
      <c r="BR997" s="22"/>
      <c r="BS997" s="22"/>
    </row>
    <row r="998">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c r="BD998" s="22"/>
      <c r="BE998" s="22"/>
      <c r="BF998" s="22"/>
      <c r="BG998" s="22"/>
      <c r="BH998" s="22"/>
      <c r="BI998" s="22"/>
      <c r="BJ998" s="22"/>
      <c r="BK998" s="22"/>
      <c r="BL998" s="22"/>
      <c r="BM998" s="22"/>
      <c r="BN998" s="22"/>
      <c r="BO998" s="22"/>
      <c r="BP998" s="22"/>
      <c r="BQ998" s="22"/>
      <c r="BR998" s="22"/>
      <c r="BS998" s="22"/>
    </row>
    <row r="999">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c r="BD999" s="22"/>
      <c r="BE999" s="22"/>
      <c r="BF999" s="22"/>
      <c r="BG999" s="22"/>
      <c r="BH999" s="22"/>
      <c r="BI999" s="22"/>
      <c r="BJ999" s="22"/>
      <c r="BK999" s="22"/>
      <c r="BL999" s="22"/>
      <c r="BM999" s="22"/>
      <c r="BN999" s="22"/>
      <c r="BO999" s="22"/>
      <c r="BP999" s="22"/>
      <c r="BQ999" s="22"/>
      <c r="BR999" s="22"/>
      <c r="BS999" s="22"/>
    </row>
    <row r="1000">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c r="BD1000" s="22"/>
      <c r="BE1000" s="22"/>
      <c r="BF1000" s="22"/>
      <c r="BG1000" s="22"/>
      <c r="BH1000" s="22"/>
      <c r="BI1000" s="22"/>
      <c r="BJ1000" s="22"/>
      <c r="BK1000" s="22"/>
      <c r="BL1000" s="22"/>
      <c r="BM1000" s="22"/>
      <c r="BN1000" s="22"/>
      <c r="BO1000" s="22"/>
      <c r="BP1000" s="22"/>
      <c r="BQ1000" s="22"/>
      <c r="BR1000" s="22"/>
      <c r="BS1000" s="22"/>
    </row>
    <row r="1001">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c r="AZ1001" s="22"/>
      <c r="BA1001" s="22"/>
      <c r="BB1001" s="22"/>
      <c r="BC1001" s="22"/>
      <c r="BD1001" s="22"/>
      <c r="BE1001" s="22"/>
      <c r="BF1001" s="22"/>
      <c r="BG1001" s="22"/>
      <c r="BH1001" s="22"/>
      <c r="BI1001" s="22"/>
      <c r="BJ1001" s="22"/>
      <c r="BK1001" s="22"/>
      <c r="BL1001" s="22"/>
      <c r="BM1001" s="22"/>
      <c r="BN1001" s="22"/>
      <c r="BO1001" s="22"/>
      <c r="BP1001" s="22"/>
      <c r="BQ1001" s="22"/>
      <c r="BR1001" s="22"/>
      <c r="BS1001" s="22"/>
    </row>
    <row r="100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c r="AV1002" s="22"/>
      <c r="AW1002" s="22"/>
      <c r="AX1002" s="22"/>
      <c r="AY1002" s="22"/>
      <c r="AZ1002" s="22"/>
      <c r="BA1002" s="22"/>
      <c r="BB1002" s="22"/>
      <c r="BC1002" s="22"/>
      <c r="BD1002" s="22"/>
      <c r="BE1002" s="22"/>
      <c r="BF1002" s="22"/>
      <c r="BG1002" s="22"/>
      <c r="BH1002" s="22"/>
      <c r="BI1002" s="22"/>
      <c r="BJ1002" s="22"/>
      <c r="BK1002" s="22"/>
      <c r="BL1002" s="22"/>
      <c r="BM1002" s="22"/>
      <c r="BN1002" s="22"/>
      <c r="BO1002" s="22"/>
      <c r="BP1002" s="22"/>
      <c r="BQ1002" s="22"/>
      <c r="BR1002" s="22"/>
      <c r="BS1002" s="22"/>
    </row>
    <row r="1003">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c r="AV1003" s="22"/>
      <c r="AW1003" s="22"/>
      <c r="AX1003" s="22"/>
      <c r="AY1003" s="22"/>
      <c r="AZ1003" s="22"/>
      <c r="BA1003" s="22"/>
      <c r="BB1003" s="22"/>
      <c r="BC1003" s="22"/>
      <c r="BD1003" s="22"/>
      <c r="BE1003" s="22"/>
      <c r="BF1003" s="22"/>
      <c r="BG1003" s="22"/>
      <c r="BH1003" s="22"/>
      <c r="BI1003" s="22"/>
      <c r="BJ1003" s="22"/>
      <c r="BK1003" s="22"/>
      <c r="BL1003" s="22"/>
      <c r="BM1003" s="22"/>
      <c r="BN1003" s="22"/>
      <c r="BO1003" s="22"/>
      <c r="BP1003" s="22"/>
      <c r="BQ1003" s="22"/>
      <c r="BR1003" s="22"/>
      <c r="BS1003" s="22"/>
    </row>
    <row r="1004">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c r="AV1004" s="22"/>
      <c r="AW1004" s="22"/>
      <c r="AX1004" s="22"/>
      <c r="AY1004" s="22"/>
      <c r="AZ1004" s="22"/>
      <c r="BA1004" s="22"/>
      <c r="BB1004" s="22"/>
      <c r="BC1004" s="22"/>
      <c r="BD1004" s="22"/>
      <c r="BE1004" s="22"/>
      <c r="BF1004" s="22"/>
      <c r="BG1004" s="22"/>
      <c r="BH1004" s="22"/>
      <c r="BI1004" s="22"/>
      <c r="BJ1004" s="22"/>
      <c r="BK1004" s="22"/>
      <c r="BL1004" s="22"/>
      <c r="BM1004" s="22"/>
      <c r="BN1004" s="22"/>
      <c r="BO1004" s="22"/>
      <c r="BP1004" s="22"/>
      <c r="BQ1004" s="22"/>
      <c r="BR1004" s="22"/>
      <c r="BS1004" s="22"/>
    </row>
    <row r="1005">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c r="AV1005" s="22"/>
      <c r="AW1005" s="22"/>
      <c r="AX1005" s="22"/>
      <c r="AY1005" s="22"/>
      <c r="AZ1005" s="22"/>
      <c r="BA1005" s="22"/>
      <c r="BB1005" s="22"/>
      <c r="BC1005" s="22"/>
      <c r="BD1005" s="22"/>
      <c r="BE1005" s="22"/>
      <c r="BF1005" s="22"/>
      <c r="BG1005" s="22"/>
      <c r="BH1005" s="22"/>
      <c r="BI1005" s="22"/>
      <c r="BJ1005" s="22"/>
      <c r="BK1005" s="22"/>
      <c r="BL1005" s="22"/>
      <c r="BM1005" s="22"/>
      <c r="BN1005" s="22"/>
      <c r="BO1005" s="22"/>
      <c r="BP1005" s="22"/>
      <c r="BQ1005" s="22"/>
      <c r="BR1005" s="22"/>
      <c r="BS1005" s="22"/>
    </row>
    <row r="1006">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c r="AV1006" s="22"/>
      <c r="AW1006" s="22"/>
      <c r="AX1006" s="22"/>
      <c r="AY1006" s="22"/>
      <c r="AZ1006" s="22"/>
      <c r="BA1006" s="22"/>
      <c r="BB1006" s="22"/>
      <c r="BC1006" s="22"/>
      <c r="BD1006" s="22"/>
      <c r="BE1006" s="22"/>
      <c r="BF1006" s="22"/>
      <c r="BG1006" s="22"/>
      <c r="BH1006" s="22"/>
      <c r="BI1006" s="22"/>
      <c r="BJ1006" s="22"/>
      <c r="BK1006" s="22"/>
      <c r="BL1006" s="22"/>
      <c r="BM1006" s="22"/>
      <c r="BN1006" s="22"/>
      <c r="BO1006" s="22"/>
      <c r="BP1006" s="22"/>
      <c r="BQ1006" s="22"/>
      <c r="BR1006" s="22"/>
      <c r="BS1006" s="22"/>
    </row>
    <row r="1007">
      <c r="L1007" s="22"/>
      <c r="M1007" s="22"/>
      <c r="N1007" s="22"/>
      <c r="O1007" s="22"/>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c r="AV1007" s="22"/>
      <c r="AW1007" s="22"/>
      <c r="AX1007" s="22"/>
      <c r="AY1007" s="22"/>
      <c r="AZ1007" s="22"/>
      <c r="BA1007" s="22"/>
      <c r="BB1007" s="22"/>
      <c r="BC1007" s="22"/>
      <c r="BD1007" s="22"/>
      <c r="BE1007" s="22"/>
      <c r="BF1007" s="22"/>
      <c r="BG1007" s="22"/>
      <c r="BH1007" s="22"/>
      <c r="BI1007" s="22"/>
      <c r="BJ1007" s="22"/>
      <c r="BK1007" s="22"/>
      <c r="BL1007" s="22"/>
      <c r="BM1007" s="22"/>
      <c r="BN1007" s="22"/>
      <c r="BO1007" s="22"/>
      <c r="BP1007" s="22"/>
      <c r="BQ1007" s="22"/>
      <c r="BR1007" s="22"/>
      <c r="BS1007" s="22"/>
    </row>
  </sheetData>
  <mergeCells count="15">
    <mergeCell ref="AJ1:AM1"/>
    <mergeCell ref="AO1:AR1"/>
    <mergeCell ref="AT1:AW1"/>
    <mergeCell ref="AY1:BB1"/>
    <mergeCell ref="BD1:BG1"/>
    <mergeCell ref="BI1:BL1"/>
    <mergeCell ref="BQ1:BS1"/>
    <mergeCell ref="A1:D1"/>
    <mergeCell ref="F1:I1"/>
    <mergeCell ref="K1:N1"/>
    <mergeCell ref="P1:S1"/>
    <mergeCell ref="U1:X1"/>
    <mergeCell ref="Z1:AC1"/>
    <mergeCell ref="AE1:AH1"/>
    <mergeCell ref="H23:K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3" max="23" width="13.25"/>
  </cols>
  <sheetData>
    <row r="1">
      <c r="A1" s="52" t="s">
        <v>264</v>
      </c>
      <c r="B1" s="22"/>
      <c r="C1" s="22"/>
      <c r="D1" s="22"/>
      <c r="E1" s="22"/>
      <c r="F1" s="22"/>
      <c r="G1" s="22"/>
      <c r="H1" s="22"/>
      <c r="I1" s="22"/>
      <c r="J1" s="22"/>
      <c r="K1" s="22"/>
      <c r="L1" s="22"/>
      <c r="M1" s="22"/>
      <c r="N1" s="22"/>
      <c r="O1" s="22"/>
      <c r="P1" s="22"/>
      <c r="Q1" s="22"/>
      <c r="R1" s="22"/>
      <c r="S1" s="22"/>
      <c r="T1" s="22"/>
      <c r="U1" s="22"/>
      <c r="V1" s="22"/>
      <c r="W1" s="22"/>
      <c r="X1" s="22"/>
      <c r="Y1" s="22"/>
      <c r="Z1" s="22"/>
    </row>
    <row r="2">
      <c r="A2" s="53" t="s">
        <v>15</v>
      </c>
      <c r="B2" s="53" t="s">
        <v>22</v>
      </c>
      <c r="C2" s="53" t="s">
        <v>25</v>
      </c>
      <c r="D2" s="53" t="s">
        <v>27</v>
      </c>
      <c r="E2" s="53" t="s">
        <v>29</v>
      </c>
      <c r="F2" s="53" t="s">
        <v>31</v>
      </c>
      <c r="G2" s="53" t="s">
        <v>34</v>
      </c>
      <c r="H2" s="53" t="s">
        <v>36</v>
      </c>
      <c r="I2" s="53" t="s">
        <v>38</v>
      </c>
      <c r="J2" s="53" t="s">
        <v>40</v>
      </c>
      <c r="K2" s="53" t="s">
        <v>42</v>
      </c>
      <c r="L2" s="53" t="s">
        <v>44</v>
      </c>
      <c r="M2" s="54" t="s">
        <v>19</v>
      </c>
      <c r="N2" s="53" t="s">
        <v>49</v>
      </c>
      <c r="O2" s="53" t="s">
        <v>51</v>
      </c>
      <c r="P2" s="53" t="s">
        <v>54</v>
      </c>
      <c r="Q2" s="53" t="s">
        <v>56</v>
      </c>
      <c r="R2" s="53" t="s">
        <v>60</v>
      </c>
      <c r="S2" s="53" t="s">
        <v>63</v>
      </c>
      <c r="T2" s="53" t="s">
        <v>66</v>
      </c>
      <c r="U2" s="53" t="s">
        <v>69</v>
      </c>
      <c r="V2" s="53" t="s">
        <v>71</v>
      </c>
      <c r="W2" s="55" t="s">
        <v>58</v>
      </c>
      <c r="X2" s="56"/>
      <c r="Y2" s="56"/>
      <c r="Z2" s="56"/>
    </row>
    <row r="3">
      <c r="A3" s="57">
        <v>1.0</v>
      </c>
      <c r="B3" s="58">
        <v>10.0</v>
      </c>
      <c r="C3" s="58">
        <v>15.0</v>
      </c>
      <c r="D3" s="58">
        <v>15.0</v>
      </c>
      <c r="E3" s="58">
        <v>5.0</v>
      </c>
      <c r="F3" s="58" t="s">
        <v>265</v>
      </c>
      <c r="G3" s="58">
        <v>10.0</v>
      </c>
      <c r="H3" s="58">
        <v>2.0</v>
      </c>
      <c r="I3" s="58">
        <v>5.0</v>
      </c>
      <c r="J3" s="58">
        <v>30.0</v>
      </c>
      <c r="K3" s="58">
        <v>15.0</v>
      </c>
      <c r="L3" s="58">
        <v>10.0</v>
      </c>
      <c r="M3" s="58">
        <v>5.0</v>
      </c>
      <c r="N3" s="58">
        <v>10.0</v>
      </c>
      <c r="O3" s="58">
        <v>20.0</v>
      </c>
      <c r="P3" s="58">
        <v>5.0</v>
      </c>
      <c r="Q3" s="58">
        <v>12.0</v>
      </c>
      <c r="R3" s="58">
        <v>10.0</v>
      </c>
      <c r="S3" s="58">
        <v>20.0</v>
      </c>
      <c r="T3" s="58">
        <v>15.0</v>
      </c>
      <c r="U3" s="58">
        <v>20.0</v>
      </c>
      <c r="V3" s="58">
        <v>20.0</v>
      </c>
      <c r="W3" s="58">
        <v>10.0</v>
      </c>
      <c r="X3" s="59"/>
      <c r="Y3" s="59"/>
      <c r="Z3" s="59"/>
    </row>
    <row r="4">
      <c r="A4" s="57">
        <v>2.0</v>
      </c>
      <c r="B4" s="58">
        <v>10.0</v>
      </c>
      <c r="C4" s="58">
        <v>10.0</v>
      </c>
      <c r="D4" s="58">
        <v>15.0</v>
      </c>
      <c r="E4" s="58">
        <v>7.0</v>
      </c>
      <c r="F4" s="58" t="s">
        <v>265</v>
      </c>
      <c r="G4" s="58">
        <v>5.0</v>
      </c>
      <c r="H4" s="58">
        <v>3.0</v>
      </c>
      <c r="I4" s="58">
        <v>10.0</v>
      </c>
      <c r="J4" s="58">
        <v>10.0</v>
      </c>
      <c r="K4" s="58">
        <v>10.0</v>
      </c>
      <c r="L4" s="58">
        <v>10.0</v>
      </c>
      <c r="M4" s="58">
        <v>7.0</v>
      </c>
      <c r="N4" s="58">
        <v>5.0</v>
      </c>
      <c r="O4" s="58">
        <v>5.0</v>
      </c>
      <c r="P4" s="58">
        <v>5.0</v>
      </c>
      <c r="Q4" s="58">
        <v>3.0</v>
      </c>
      <c r="R4" s="58">
        <v>10.0</v>
      </c>
      <c r="S4" s="58">
        <v>5.0</v>
      </c>
      <c r="T4" s="58">
        <v>5.0</v>
      </c>
      <c r="U4" s="58">
        <v>5.0</v>
      </c>
      <c r="V4" s="58">
        <v>5.0</v>
      </c>
      <c r="W4" s="58">
        <v>10.0</v>
      </c>
      <c r="X4" s="59"/>
      <c r="Y4" s="59"/>
      <c r="Z4" s="59"/>
    </row>
    <row r="5">
      <c r="A5" s="57">
        <v>3.0</v>
      </c>
      <c r="B5" s="58">
        <v>15.0</v>
      </c>
      <c r="C5" s="58">
        <v>10.0</v>
      </c>
      <c r="D5" s="58">
        <v>10.0</v>
      </c>
      <c r="E5" s="58">
        <v>8.0</v>
      </c>
      <c r="F5" s="58" t="s">
        <v>265</v>
      </c>
      <c r="G5" s="58">
        <v>10.0</v>
      </c>
      <c r="H5" s="58">
        <v>4.0</v>
      </c>
      <c r="I5" s="58">
        <v>10.0</v>
      </c>
      <c r="J5" s="58">
        <v>10.0</v>
      </c>
      <c r="K5" s="58">
        <v>5.0</v>
      </c>
      <c r="L5" s="58">
        <v>10.0</v>
      </c>
      <c r="M5" s="58">
        <v>7.0</v>
      </c>
      <c r="N5" s="58">
        <v>5.0</v>
      </c>
      <c r="O5" s="58">
        <v>5.0</v>
      </c>
      <c r="P5" s="58">
        <v>5.0</v>
      </c>
      <c r="Q5" s="58">
        <v>3.0</v>
      </c>
      <c r="R5" s="58">
        <v>10.0</v>
      </c>
      <c r="S5" s="58">
        <v>5.0</v>
      </c>
      <c r="T5" s="58">
        <v>5.0</v>
      </c>
      <c r="U5" s="58">
        <v>5.0</v>
      </c>
      <c r="V5" s="58">
        <v>5.0</v>
      </c>
      <c r="W5" s="58">
        <v>10.0</v>
      </c>
      <c r="X5" s="59"/>
      <c r="Y5" s="59"/>
      <c r="Z5" s="59"/>
    </row>
    <row r="6">
      <c r="A6" s="60">
        <v>4.0</v>
      </c>
      <c r="B6" s="61">
        <v>18.0</v>
      </c>
      <c r="C6" s="61">
        <v>13.0</v>
      </c>
      <c r="D6" s="61">
        <v>10.0</v>
      </c>
      <c r="E6" s="61">
        <v>7.0</v>
      </c>
      <c r="F6" s="61" t="s">
        <v>265</v>
      </c>
      <c r="G6" s="61">
        <v>5.0</v>
      </c>
      <c r="H6" s="61">
        <v>5.0</v>
      </c>
      <c r="I6" s="61">
        <v>10.0</v>
      </c>
      <c r="J6" s="61">
        <v>5.0</v>
      </c>
      <c r="K6" s="61">
        <v>10.0</v>
      </c>
      <c r="L6" s="61">
        <v>10.0</v>
      </c>
      <c r="M6" s="61">
        <v>7.0</v>
      </c>
      <c r="N6" s="61">
        <v>15.0</v>
      </c>
      <c r="O6" s="61">
        <v>5.0</v>
      </c>
      <c r="P6" s="61">
        <v>10.0</v>
      </c>
      <c r="Q6" s="61">
        <v>3.0</v>
      </c>
      <c r="R6" s="61">
        <v>10.0</v>
      </c>
      <c r="S6" s="61">
        <v>5.0</v>
      </c>
      <c r="T6" s="61">
        <v>5.0</v>
      </c>
      <c r="U6" s="61">
        <v>5.0</v>
      </c>
      <c r="V6" s="61">
        <v>5.0</v>
      </c>
      <c r="W6" s="61">
        <v>10.0</v>
      </c>
      <c r="X6" s="62"/>
      <c r="Y6" s="62"/>
      <c r="Z6" s="62"/>
    </row>
    <row r="7">
      <c r="A7" s="60">
        <v>5.0</v>
      </c>
      <c r="B7" s="61">
        <v>25.0</v>
      </c>
      <c r="C7" s="61">
        <v>22.0</v>
      </c>
      <c r="D7" s="61">
        <v>20.0</v>
      </c>
      <c r="E7" s="61">
        <v>13.0</v>
      </c>
      <c r="F7" s="61" t="s">
        <v>265</v>
      </c>
      <c r="G7" s="61">
        <v>20.0</v>
      </c>
      <c r="H7" s="61">
        <v>6.0</v>
      </c>
      <c r="I7" s="61">
        <v>25.0</v>
      </c>
      <c r="J7" s="61">
        <v>5.0</v>
      </c>
      <c r="K7" s="61">
        <v>20.0</v>
      </c>
      <c r="L7" s="61">
        <v>10.0</v>
      </c>
      <c r="M7" s="61">
        <v>15.0</v>
      </c>
      <c r="N7" s="61">
        <v>15.0</v>
      </c>
      <c r="O7" s="61">
        <v>5.0</v>
      </c>
      <c r="P7" s="61">
        <v>10.0</v>
      </c>
      <c r="Q7" s="61">
        <v>3.0</v>
      </c>
      <c r="R7" s="61">
        <v>10.0</v>
      </c>
      <c r="S7" s="61">
        <v>10.0</v>
      </c>
      <c r="T7" s="61">
        <v>5.0</v>
      </c>
      <c r="U7" s="61">
        <v>5.0</v>
      </c>
      <c r="V7" s="61">
        <v>5.0</v>
      </c>
      <c r="W7" s="61">
        <v>10.0</v>
      </c>
      <c r="X7" s="62"/>
      <c r="Y7" s="62"/>
      <c r="Z7" s="62"/>
    </row>
    <row r="8">
      <c r="A8" s="60">
        <v>6.0</v>
      </c>
      <c r="B8" s="61">
        <v>10.0</v>
      </c>
      <c r="C8" s="61">
        <v>15.0</v>
      </c>
      <c r="D8" s="61">
        <v>10.0</v>
      </c>
      <c r="E8" s="61">
        <v>20.0</v>
      </c>
      <c r="F8" s="61" t="s">
        <v>265</v>
      </c>
      <c r="G8" s="61">
        <v>20.0</v>
      </c>
      <c r="H8" s="61">
        <v>35.0</v>
      </c>
      <c r="I8" s="61">
        <v>20.0</v>
      </c>
      <c r="J8" s="61">
        <v>5.0</v>
      </c>
      <c r="K8" s="61">
        <v>15.0</v>
      </c>
      <c r="L8" s="61">
        <v>10.0</v>
      </c>
      <c r="M8" s="61">
        <v>25.0</v>
      </c>
      <c r="N8" s="61">
        <v>15.0</v>
      </c>
      <c r="O8" s="61">
        <v>20.0</v>
      </c>
      <c r="P8" s="61">
        <v>25.0</v>
      </c>
      <c r="Q8" s="61">
        <v>25.0</v>
      </c>
      <c r="R8" s="61">
        <v>10.0</v>
      </c>
      <c r="S8" s="61">
        <v>20.0</v>
      </c>
      <c r="T8" s="61">
        <v>5.0</v>
      </c>
      <c r="U8" s="61">
        <v>10.0</v>
      </c>
      <c r="V8" s="61">
        <v>10.0</v>
      </c>
      <c r="W8" s="61">
        <v>10.0</v>
      </c>
      <c r="X8" s="62"/>
      <c r="Y8" s="62"/>
      <c r="Z8" s="62"/>
    </row>
    <row r="9">
      <c r="A9" s="63">
        <v>7.0</v>
      </c>
      <c r="B9" s="64">
        <v>5.0</v>
      </c>
      <c r="C9" s="64">
        <v>5.0</v>
      </c>
      <c r="D9" s="64">
        <v>5.0</v>
      </c>
      <c r="E9" s="64">
        <v>15.0</v>
      </c>
      <c r="F9" s="64" t="s">
        <v>265</v>
      </c>
      <c r="G9" s="64">
        <v>15.0</v>
      </c>
      <c r="H9" s="64">
        <v>20.0</v>
      </c>
      <c r="I9" s="64">
        <v>10.0</v>
      </c>
      <c r="J9" s="64">
        <v>5.0</v>
      </c>
      <c r="K9" s="64">
        <v>10.0</v>
      </c>
      <c r="L9" s="64">
        <v>10.0</v>
      </c>
      <c r="M9" s="64">
        <v>20.0</v>
      </c>
      <c r="N9" s="64">
        <v>15.0</v>
      </c>
      <c r="O9" s="64">
        <v>20.0</v>
      </c>
      <c r="P9" s="64">
        <v>25.0</v>
      </c>
      <c r="Q9" s="64">
        <v>31.0</v>
      </c>
      <c r="R9" s="64">
        <v>10.0</v>
      </c>
      <c r="S9" s="64">
        <v>5.0</v>
      </c>
      <c r="T9" s="64">
        <v>35.0</v>
      </c>
      <c r="U9" s="64">
        <v>10.0</v>
      </c>
      <c r="V9" s="64">
        <v>10.0</v>
      </c>
      <c r="W9" s="64">
        <v>10.0</v>
      </c>
      <c r="X9" s="65"/>
      <c r="Y9" s="65"/>
      <c r="Z9" s="65"/>
    </row>
    <row r="10">
      <c r="A10" s="63">
        <v>8.0</v>
      </c>
      <c r="B10" s="64">
        <v>3.0</v>
      </c>
      <c r="C10" s="64">
        <v>5.0</v>
      </c>
      <c r="D10" s="64">
        <v>5.0</v>
      </c>
      <c r="E10" s="64">
        <v>10.0</v>
      </c>
      <c r="F10" s="64" t="s">
        <v>265</v>
      </c>
      <c r="G10" s="64">
        <v>5.0</v>
      </c>
      <c r="H10" s="64">
        <v>10.0</v>
      </c>
      <c r="I10" s="64">
        <v>5.0</v>
      </c>
      <c r="J10" s="64">
        <v>5.0</v>
      </c>
      <c r="K10" s="64">
        <v>5.0</v>
      </c>
      <c r="L10" s="64">
        <v>10.0</v>
      </c>
      <c r="M10" s="64">
        <v>8.0</v>
      </c>
      <c r="N10" s="64">
        <v>10.0</v>
      </c>
      <c r="O10" s="64">
        <v>5.0</v>
      </c>
      <c r="P10" s="64">
        <v>5.0</v>
      </c>
      <c r="Q10" s="64">
        <v>5.0</v>
      </c>
      <c r="R10" s="64">
        <v>10.0</v>
      </c>
      <c r="S10" s="64">
        <v>5.0</v>
      </c>
      <c r="T10" s="64">
        <v>10.0</v>
      </c>
      <c r="U10" s="64">
        <v>10.0</v>
      </c>
      <c r="V10" s="64">
        <v>10.0</v>
      </c>
      <c r="W10" s="64">
        <v>10.0</v>
      </c>
      <c r="X10" s="65"/>
      <c r="Y10" s="65"/>
      <c r="Z10" s="65"/>
    </row>
    <row r="11">
      <c r="A11" s="63">
        <v>9.0</v>
      </c>
      <c r="B11" s="64">
        <v>2.0</v>
      </c>
      <c r="C11" s="64">
        <v>3.0</v>
      </c>
      <c r="D11" s="64">
        <v>5.0</v>
      </c>
      <c r="E11" s="64">
        <v>9.0</v>
      </c>
      <c r="F11" s="64" t="s">
        <v>265</v>
      </c>
      <c r="G11" s="64">
        <v>5.0</v>
      </c>
      <c r="H11" s="64">
        <v>8.0</v>
      </c>
      <c r="I11" s="64">
        <v>3.0</v>
      </c>
      <c r="J11" s="64">
        <v>5.0</v>
      </c>
      <c r="K11" s="64">
        <v>5.0</v>
      </c>
      <c r="L11" s="64">
        <v>10.0</v>
      </c>
      <c r="M11" s="64">
        <v>3.0</v>
      </c>
      <c r="N11" s="64">
        <v>5.0</v>
      </c>
      <c r="O11" s="64">
        <v>5.0</v>
      </c>
      <c r="P11" s="64">
        <v>5.0</v>
      </c>
      <c r="Q11" s="64">
        <v>5.0</v>
      </c>
      <c r="R11" s="64">
        <v>10.0</v>
      </c>
      <c r="S11" s="64">
        <v>5.0</v>
      </c>
      <c r="T11" s="64">
        <v>5.0</v>
      </c>
      <c r="U11" s="64">
        <v>15.0</v>
      </c>
      <c r="V11" s="64">
        <v>15.0</v>
      </c>
      <c r="W11" s="64">
        <v>10.0</v>
      </c>
      <c r="X11" s="65"/>
      <c r="Y11" s="65"/>
      <c r="Z11" s="65"/>
    </row>
    <row r="12">
      <c r="A12" s="66">
        <v>10.0</v>
      </c>
      <c r="B12" s="67">
        <v>2.0</v>
      </c>
      <c r="C12" s="67">
        <v>2.0</v>
      </c>
      <c r="D12" s="67">
        <v>5.0</v>
      </c>
      <c r="E12" s="67">
        <v>6.0</v>
      </c>
      <c r="F12" s="67" t="s">
        <v>265</v>
      </c>
      <c r="G12" s="67">
        <v>5.0</v>
      </c>
      <c r="H12" s="67">
        <v>7.0</v>
      </c>
      <c r="I12" s="67">
        <v>2.0</v>
      </c>
      <c r="J12" s="67">
        <v>20.0</v>
      </c>
      <c r="K12" s="67">
        <v>5.0</v>
      </c>
      <c r="L12" s="67">
        <v>10.0</v>
      </c>
      <c r="M12" s="67">
        <v>3.0</v>
      </c>
      <c r="N12" s="67">
        <v>5.0</v>
      </c>
      <c r="O12" s="67">
        <v>10.0</v>
      </c>
      <c r="P12" s="67">
        <v>5.0</v>
      </c>
      <c r="Q12" s="67">
        <v>10.0</v>
      </c>
      <c r="R12" s="67">
        <v>10.0</v>
      </c>
      <c r="S12" s="67">
        <v>20.0</v>
      </c>
      <c r="T12" s="67">
        <v>10.0</v>
      </c>
      <c r="U12" s="67">
        <v>15.0</v>
      </c>
      <c r="V12" s="67">
        <v>15.0</v>
      </c>
      <c r="W12" s="67">
        <v>10.0</v>
      </c>
      <c r="X12" s="68"/>
      <c r="Y12" s="68"/>
      <c r="Z12" s="68"/>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69"/>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22"/>
      <c r="X980" s="22"/>
      <c r="Y980" s="22"/>
      <c r="Z980" s="22"/>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22"/>
      <c r="X981" s="22"/>
      <c r="Y981" s="22"/>
      <c r="Z981" s="22"/>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22"/>
      <c r="X982" s="22"/>
      <c r="Y982" s="22"/>
      <c r="Z982" s="22"/>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22"/>
      <c r="X983" s="22"/>
      <c r="Y983" s="22"/>
      <c r="Z983" s="22"/>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22"/>
      <c r="X984" s="22"/>
      <c r="Y984" s="22"/>
      <c r="Z984" s="22"/>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22"/>
      <c r="X985" s="22"/>
      <c r="Y985" s="22"/>
      <c r="Z985" s="22"/>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22"/>
      <c r="X986" s="22"/>
      <c r="Y986" s="22"/>
      <c r="Z986" s="22"/>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22"/>
      <c r="X987" s="22"/>
      <c r="Y987" s="22"/>
      <c r="Z987" s="22"/>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22"/>
      <c r="X988" s="22"/>
      <c r="Y988" s="22"/>
      <c r="Z988" s="22"/>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22"/>
      <c r="X989" s="22"/>
      <c r="Y989" s="22"/>
      <c r="Z989" s="22"/>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22"/>
      <c r="X990" s="22"/>
      <c r="Y990" s="22"/>
      <c r="Z990" s="22"/>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22"/>
      <c r="X991" s="22"/>
      <c r="Y991" s="22"/>
      <c r="Z991" s="22"/>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22"/>
      <c r="X992" s="22"/>
      <c r="Y992" s="22"/>
      <c r="Z992" s="22"/>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22"/>
      <c r="X993" s="22"/>
      <c r="Y993" s="22"/>
      <c r="Z993" s="22"/>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22"/>
      <c r="X994" s="22"/>
      <c r="Y994" s="22"/>
      <c r="Z994" s="22"/>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22"/>
      <c r="X995" s="22"/>
      <c r="Y995" s="22"/>
      <c r="Z995" s="22"/>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22"/>
      <c r="X996" s="22"/>
      <c r="Y996" s="22"/>
      <c r="Z996" s="22"/>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22"/>
      <c r="X997" s="22"/>
      <c r="Y997" s="22"/>
      <c r="Z997" s="22"/>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22"/>
      <c r="X998" s="22"/>
      <c r="Y998" s="22"/>
      <c r="Z998" s="22"/>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22"/>
      <c r="X999" s="22"/>
      <c r="Y999" s="22"/>
      <c r="Z999" s="22"/>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22"/>
      <c r="X1000" s="22"/>
      <c r="Y1000" s="22"/>
      <c r="Z1000" s="22"/>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22"/>
      <c r="X1001" s="22"/>
      <c r="Y1001" s="22"/>
      <c r="Z1001" s="2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15</v>
      </c>
      <c r="B1" s="53" t="s">
        <v>22</v>
      </c>
      <c r="C1" s="53" t="s">
        <v>25</v>
      </c>
      <c r="D1" s="53" t="s">
        <v>27</v>
      </c>
      <c r="E1" s="53" t="s">
        <v>29</v>
      </c>
      <c r="F1" s="53" t="s">
        <v>31</v>
      </c>
      <c r="G1" s="53" t="s">
        <v>34</v>
      </c>
      <c r="H1" s="53" t="s">
        <v>36</v>
      </c>
      <c r="I1" s="53" t="s">
        <v>38</v>
      </c>
      <c r="J1" s="53" t="s">
        <v>40</v>
      </c>
      <c r="K1" s="53" t="s">
        <v>42</v>
      </c>
      <c r="L1" s="53" t="s">
        <v>44</v>
      </c>
      <c r="M1" s="54" t="s">
        <v>266</v>
      </c>
      <c r="N1" s="53" t="s">
        <v>49</v>
      </c>
      <c r="O1" s="53" t="s">
        <v>51</v>
      </c>
      <c r="P1" s="53" t="s">
        <v>54</v>
      </c>
      <c r="Q1" s="53" t="s">
        <v>56</v>
      </c>
      <c r="R1" s="53" t="s">
        <v>60</v>
      </c>
      <c r="S1" s="53" t="s">
        <v>63</v>
      </c>
      <c r="T1" s="53" t="s">
        <v>66</v>
      </c>
      <c r="U1" s="53" t="s">
        <v>69</v>
      </c>
      <c r="V1" s="53" t="s">
        <v>71</v>
      </c>
      <c r="W1" s="55" t="s">
        <v>58</v>
      </c>
      <c r="X1" s="70"/>
      <c r="Y1" s="70"/>
      <c r="Z1" s="70"/>
    </row>
    <row r="2">
      <c r="A2" s="57">
        <v>1.0</v>
      </c>
      <c r="B2" s="58">
        <v>10.0</v>
      </c>
      <c r="C2" s="58">
        <v>10.0</v>
      </c>
      <c r="D2" s="58">
        <v>15.0</v>
      </c>
      <c r="E2" s="58">
        <v>20.0</v>
      </c>
      <c r="F2" s="58" t="s">
        <v>265</v>
      </c>
      <c r="G2" s="58">
        <v>15.0</v>
      </c>
      <c r="H2" s="58">
        <v>15.0</v>
      </c>
      <c r="I2" s="58">
        <v>5.0</v>
      </c>
      <c r="J2" s="58">
        <v>45.0</v>
      </c>
      <c r="K2" s="58">
        <v>15.0</v>
      </c>
      <c r="L2" s="58">
        <v>10.0</v>
      </c>
      <c r="M2" s="58">
        <v>3.0</v>
      </c>
      <c r="N2" s="58">
        <v>10.0</v>
      </c>
      <c r="O2" s="58">
        <v>5.0</v>
      </c>
      <c r="P2" s="58">
        <v>15.0</v>
      </c>
      <c r="Q2" s="58">
        <v>15.0</v>
      </c>
      <c r="R2" s="58">
        <v>10.0</v>
      </c>
      <c r="S2" s="58">
        <v>15.0</v>
      </c>
      <c r="T2" s="58">
        <v>15.0</v>
      </c>
      <c r="U2" s="58">
        <v>10.0</v>
      </c>
      <c r="V2" s="58">
        <v>15.0</v>
      </c>
      <c r="W2" s="58">
        <v>10.0</v>
      </c>
      <c r="X2" s="70"/>
      <c r="Y2" s="70"/>
      <c r="Z2" s="70"/>
    </row>
    <row r="3">
      <c r="A3" s="57">
        <v>2.0</v>
      </c>
      <c r="B3" s="58">
        <v>15.0</v>
      </c>
      <c r="C3" s="58">
        <v>15.0</v>
      </c>
      <c r="D3" s="58">
        <v>10.0</v>
      </c>
      <c r="E3" s="58">
        <v>15.0</v>
      </c>
      <c r="F3" s="58" t="s">
        <v>265</v>
      </c>
      <c r="G3" s="58">
        <v>10.0</v>
      </c>
      <c r="H3" s="58">
        <v>15.0</v>
      </c>
      <c r="I3" s="58">
        <v>5.0</v>
      </c>
      <c r="J3" s="58">
        <v>10.0</v>
      </c>
      <c r="K3" s="58">
        <v>5.0</v>
      </c>
      <c r="L3" s="58">
        <v>10.0</v>
      </c>
      <c r="M3" s="58">
        <v>3.0</v>
      </c>
      <c r="N3" s="58">
        <v>10.0</v>
      </c>
      <c r="O3" s="58">
        <v>5.0</v>
      </c>
      <c r="P3" s="58">
        <v>15.0</v>
      </c>
      <c r="Q3" s="58">
        <v>5.0</v>
      </c>
      <c r="R3" s="58">
        <v>10.0</v>
      </c>
      <c r="S3" s="58">
        <v>5.0</v>
      </c>
      <c r="T3" s="58">
        <v>5.0</v>
      </c>
      <c r="U3" s="58">
        <v>4.0</v>
      </c>
      <c r="V3" s="58">
        <v>2.0</v>
      </c>
      <c r="W3" s="58">
        <v>10.0</v>
      </c>
      <c r="X3" s="70"/>
      <c r="Y3" s="70"/>
      <c r="Z3" s="70"/>
    </row>
    <row r="4">
      <c r="A4" s="57">
        <v>3.0</v>
      </c>
      <c r="B4" s="58">
        <v>15.0</v>
      </c>
      <c r="C4" s="58">
        <v>15.0</v>
      </c>
      <c r="D4" s="58">
        <v>10.0</v>
      </c>
      <c r="E4" s="58">
        <v>15.0</v>
      </c>
      <c r="F4" s="58" t="s">
        <v>265</v>
      </c>
      <c r="G4" s="58">
        <v>10.0</v>
      </c>
      <c r="H4" s="58">
        <v>15.0</v>
      </c>
      <c r="I4" s="58">
        <v>5.0</v>
      </c>
      <c r="J4" s="58">
        <v>10.0</v>
      </c>
      <c r="K4" s="58">
        <v>10.0</v>
      </c>
      <c r="L4" s="58">
        <v>10.0</v>
      </c>
      <c r="M4" s="58">
        <v>6.0</v>
      </c>
      <c r="N4" s="58">
        <v>5.0</v>
      </c>
      <c r="O4" s="58">
        <v>7.0</v>
      </c>
      <c r="P4" s="58">
        <v>15.0</v>
      </c>
      <c r="Q4" s="58">
        <v>5.0</v>
      </c>
      <c r="R4" s="58">
        <v>10.0</v>
      </c>
      <c r="S4" s="58">
        <v>5.0</v>
      </c>
      <c r="T4" s="58">
        <v>5.0</v>
      </c>
      <c r="U4" s="58">
        <v>4.0</v>
      </c>
      <c r="V4" s="58">
        <v>3.0</v>
      </c>
      <c r="W4" s="58">
        <v>10.0</v>
      </c>
      <c r="X4" s="70"/>
      <c r="Y4" s="70"/>
      <c r="Z4" s="70"/>
    </row>
    <row r="5">
      <c r="A5" s="60">
        <v>4.0</v>
      </c>
      <c r="B5" s="61">
        <v>15.0</v>
      </c>
      <c r="C5" s="61">
        <v>15.0</v>
      </c>
      <c r="D5" s="61">
        <v>10.0</v>
      </c>
      <c r="E5" s="61">
        <v>15.0</v>
      </c>
      <c r="F5" s="61" t="s">
        <v>265</v>
      </c>
      <c r="G5" s="61">
        <v>10.0</v>
      </c>
      <c r="H5" s="61">
        <v>15.0</v>
      </c>
      <c r="I5" s="61">
        <v>10.0</v>
      </c>
      <c r="J5" s="61">
        <v>5.0</v>
      </c>
      <c r="K5" s="61">
        <v>5.0</v>
      </c>
      <c r="L5" s="61">
        <v>10.0</v>
      </c>
      <c r="M5" s="61">
        <v>6.0</v>
      </c>
      <c r="N5" s="61">
        <v>5.0</v>
      </c>
      <c r="O5" s="61">
        <v>7.0</v>
      </c>
      <c r="P5" s="61">
        <v>15.0</v>
      </c>
      <c r="Q5" s="61">
        <v>5.0</v>
      </c>
      <c r="R5" s="61">
        <v>10.0</v>
      </c>
      <c r="S5" s="61">
        <v>5.0</v>
      </c>
      <c r="T5" s="61">
        <v>5.0</v>
      </c>
      <c r="U5" s="61">
        <v>4.0</v>
      </c>
      <c r="V5" s="61">
        <v>4.0</v>
      </c>
      <c r="W5" s="61">
        <v>10.0</v>
      </c>
      <c r="X5" s="70"/>
      <c r="Y5" s="70"/>
      <c r="Z5" s="70"/>
    </row>
    <row r="6">
      <c r="A6" s="60">
        <v>5.0</v>
      </c>
      <c r="B6" s="61">
        <v>15.0</v>
      </c>
      <c r="C6" s="61">
        <v>15.0</v>
      </c>
      <c r="D6" s="61">
        <v>20.0</v>
      </c>
      <c r="E6" s="61">
        <v>15.0</v>
      </c>
      <c r="F6" s="61" t="s">
        <v>265</v>
      </c>
      <c r="G6" s="61">
        <v>20.0</v>
      </c>
      <c r="H6" s="61">
        <v>15.0</v>
      </c>
      <c r="I6" s="61">
        <v>15.0</v>
      </c>
      <c r="J6" s="61">
        <v>5.0</v>
      </c>
      <c r="K6" s="61">
        <v>10.0</v>
      </c>
      <c r="L6" s="61">
        <v>10.0</v>
      </c>
      <c r="M6" s="61">
        <v>24.0</v>
      </c>
      <c r="N6" s="61">
        <v>20.0</v>
      </c>
      <c r="O6" s="61">
        <v>8.0</v>
      </c>
      <c r="P6" s="61">
        <v>15.0</v>
      </c>
      <c r="Q6" s="61">
        <v>15.0</v>
      </c>
      <c r="R6" s="61">
        <v>10.0</v>
      </c>
      <c r="S6" s="61">
        <v>35.0</v>
      </c>
      <c r="T6" s="61">
        <v>20.0</v>
      </c>
      <c r="U6" s="61">
        <v>4.0</v>
      </c>
      <c r="V6" s="61">
        <v>4.0</v>
      </c>
      <c r="W6" s="61">
        <v>10.0</v>
      </c>
      <c r="X6" s="70"/>
      <c r="Y6" s="70"/>
      <c r="Z6" s="70"/>
    </row>
    <row r="7">
      <c r="A7" s="60">
        <v>6.0</v>
      </c>
      <c r="B7" s="61">
        <v>15.0</v>
      </c>
      <c r="C7" s="61">
        <v>15.0</v>
      </c>
      <c r="D7" s="61">
        <v>15.0</v>
      </c>
      <c r="E7" s="61">
        <v>5.0</v>
      </c>
      <c r="F7" s="61" t="s">
        <v>265</v>
      </c>
      <c r="G7" s="61">
        <v>15.0</v>
      </c>
      <c r="H7" s="61">
        <v>15.0</v>
      </c>
      <c r="I7" s="61">
        <v>20.0</v>
      </c>
      <c r="J7" s="61">
        <v>5.0</v>
      </c>
      <c r="K7" s="61">
        <v>25.0</v>
      </c>
      <c r="L7" s="61">
        <v>10.0</v>
      </c>
      <c r="M7" s="61">
        <v>24.0</v>
      </c>
      <c r="N7" s="61">
        <v>20.0</v>
      </c>
      <c r="O7" s="61">
        <v>18.0</v>
      </c>
      <c r="P7" s="61">
        <v>15.0</v>
      </c>
      <c r="Q7" s="61">
        <v>15.0</v>
      </c>
      <c r="R7" s="61">
        <v>10.0</v>
      </c>
      <c r="S7" s="61">
        <v>10.0</v>
      </c>
      <c r="T7" s="61">
        <v>20.0</v>
      </c>
      <c r="U7" s="61">
        <v>35.0</v>
      </c>
      <c r="V7" s="61">
        <v>4.0</v>
      </c>
      <c r="W7" s="61">
        <v>10.0</v>
      </c>
      <c r="X7" s="70"/>
      <c r="Y7" s="70"/>
      <c r="Z7" s="70"/>
    </row>
    <row r="8">
      <c r="A8" s="63">
        <v>7.0</v>
      </c>
      <c r="B8" s="64">
        <v>5.0</v>
      </c>
      <c r="C8" s="64">
        <v>5.0</v>
      </c>
      <c r="D8" s="64">
        <v>10.0</v>
      </c>
      <c r="E8" s="64">
        <v>5.0</v>
      </c>
      <c r="F8" s="64" t="s">
        <v>265</v>
      </c>
      <c r="G8" s="64">
        <v>5.0</v>
      </c>
      <c r="H8" s="64">
        <v>4.0</v>
      </c>
      <c r="I8" s="64">
        <v>15.0</v>
      </c>
      <c r="J8" s="64">
        <v>5.0</v>
      </c>
      <c r="K8" s="64">
        <v>15.0</v>
      </c>
      <c r="L8" s="64">
        <v>10.0</v>
      </c>
      <c r="M8" s="64">
        <v>16.0</v>
      </c>
      <c r="N8" s="64">
        <v>10.0</v>
      </c>
      <c r="O8" s="64">
        <v>33.0</v>
      </c>
      <c r="P8" s="64">
        <v>4.0</v>
      </c>
      <c r="Q8" s="64">
        <v>15.0</v>
      </c>
      <c r="R8" s="64">
        <v>10.0</v>
      </c>
      <c r="S8" s="64">
        <v>5.0</v>
      </c>
      <c r="T8" s="64">
        <v>5.0</v>
      </c>
      <c r="U8" s="64">
        <v>14.0</v>
      </c>
      <c r="V8" s="64">
        <v>44.0</v>
      </c>
      <c r="W8" s="64">
        <v>10.0</v>
      </c>
      <c r="X8" s="70"/>
      <c r="Y8" s="70"/>
      <c r="Z8" s="70"/>
    </row>
    <row r="9">
      <c r="A9" s="63">
        <v>8.0</v>
      </c>
      <c r="B9" s="64">
        <v>5.0</v>
      </c>
      <c r="C9" s="64">
        <v>5.0</v>
      </c>
      <c r="D9" s="64">
        <v>5.0</v>
      </c>
      <c r="E9" s="64">
        <v>5.0</v>
      </c>
      <c r="F9" s="64" t="s">
        <v>265</v>
      </c>
      <c r="G9" s="64">
        <v>5.0</v>
      </c>
      <c r="H9" s="64">
        <v>2.0</v>
      </c>
      <c r="I9" s="64">
        <v>15.0</v>
      </c>
      <c r="J9" s="64">
        <v>5.0</v>
      </c>
      <c r="K9" s="64">
        <v>5.0</v>
      </c>
      <c r="L9" s="64">
        <v>10.0</v>
      </c>
      <c r="M9" s="64">
        <v>6.0</v>
      </c>
      <c r="N9" s="64">
        <v>10.0</v>
      </c>
      <c r="O9" s="64">
        <v>7.0</v>
      </c>
      <c r="P9" s="64">
        <v>2.0</v>
      </c>
      <c r="Q9" s="64">
        <v>15.0</v>
      </c>
      <c r="R9" s="64">
        <v>10.0</v>
      </c>
      <c r="S9" s="64">
        <v>5.0</v>
      </c>
      <c r="T9" s="64">
        <v>5.0</v>
      </c>
      <c r="U9" s="64">
        <v>11.0</v>
      </c>
      <c r="V9" s="64">
        <v>4.0</v>
      </c>
      <c r="W9" s="64">
        <v>10.0</v>
      </c>
      <c r="X9" s="70"/>
      <c r="Y9" s="70"/>
      <c r="Z9" s="70"/>
    </row>
    <row r="10">
      <c r="A10" s="63">
        <v>9.0</v>
      </c>
      <c r="B10" s="64">
        <v>3.0</v>
      </c>
      <c r="C10" s="64">
        <v>3.0</v>
      </c>
      <c r="D10" s="64">
        <v>3.0</v>
      </c>
      <c r="E10" s="64">
        <v>3.0</v>
      </c>
      <c r="F10" s="64" t="s">
        <v>265</v>
      </c>
      <c r="G10" s="64">
        <v>5.0</v>
      </c>
      <c r="H10" s="64">
        <v>2.0</v>
      </c>
      <c r="I10" s="64">
        <v>5.0</v>
      </c>
      <c r="J10" s="64">
        <v>5.0</v>
      </c>
      <c r="K10" s="64">
        <v>5.0</v>
      </c>
      <c r="L10" s="64">
        <v>10.0</v>
      </c>
      <c r="M10" s="64">
        <v>7.0</v>
      </c>
      <c r="N10" s="64">
        <v>5.0</v>
      </c>
      <c r="O10" s="64">
        <v>5.0</v>
      </c>
      <c r="P10" s="64">
        <v>2.0</v>
      </c>
      <c r="Q10" s="64">
        <v>5.0</v>
      </c>
      <c r="R10" s="64">
        <v>10.0</v>
      </c>
      <c r="S10" s="64">
        <v>5.0</v>
      </c>
      <c r="T10" s="64">
        <v>5.0</v>
      </c>
      <c r="U10" s="64">
        <v>4.0</v>
      </c>
      <c r="V10" s="64">
        <v>5.0</v>
      </c>
      <c r="W10" s="64">
        <v>10.0</v>
      </c>
      <c r="X10" s="70"/>
      <c r="Y10" s="70"/>
      <c r="Z10" s="70"/>
    </row>
    <row r="11">
      <c r="A11" s="66">
        <v>10.0</v>
      </c>
      <c r="B11" s="67">
        <v>2.0</v>
      </c>
      <c r="C11" s="67">
        <v>2.0</v>
      </c>
      <c r="D11" s="67">
        <v>2.0</v>
      </c>
      <c r="E11" s="67">
        <v>2.0</v>
      </c>
      <c r="F11" s="67" t="s">
        <v>265</v>
      </c>
      <c r="G11" s="67">
        <v>5.0</v>
      </c>
      <c r="H11" s="67">
        <v>2.0</v>
      </c>
      <c r="I11" s="67">
        <v>5.0</v>
      </c>
      <c r="J11" s="67">
        <v>5.0</v>
      </c>
      <c r="K11" s="67">
        <v>5.0</v>
      </c>
      <c r="L11" s="67">
        <v>10.0</v>
      </c>
      <c r="M11" s="67">
        <v>5.0</v>
      </c>
      <c r="N11" s="67">
        <v>5.0</v>
      </c>
      <c r="O11" s="67">
        <v>5.0</v>
      </c>
      <c r="P11" s="67">
        <v>2.0</v>
      </c>
      <c r="Q11" s="67">
        <v>5.0</v>
      </c>
      <c r="R11" s="67">
        <v>10.0</v>
      </c>
      <c r="S11" s="67">
        <v>10.0</v>
      </c>
      <c r="T11" s="67">
        <v>15.0</v>
      </c>
      <c r="U11" s="67">
        <v>10.0</v>
      </c>
      <c r="V11" s="67">
        <v>15.0</v>
      </c>
      <c r="W11" s="67">
        <v>10.0</v>
      </c>
      <c r="X11" s="70"/>
      <c r="Y11" s="70"/>
      <c r="Z11" s="70"/>
    </row>
    <row r="12">
      <c r="A12" s="70"/>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15</v>
      </c>
      <c r="B1" s="53" t="s">
        <v>22</v>
      </c>
      <c r="C1" s="53" t="s">
        <v>25</v>
      </c>
      <c r="D1" s="53" t="s">
        <v>27</v>
      </c>
      <c r="E1" s="53" t="s">
        <v>29</v>
      </c>
      <c r="F1" s="53" t="s">
        <v>31</v>
      </c>
      <c r="G1" s="53" t="s">
        <v>34</v>
      </c>
      <c r="H1" s="53" t="s">
        <v>36</v>
      </c>
      <c r="I1" s="53" t="s">
        <v>38</v>
      </c>
      <c r="J1" s="53" t="s">
        <v>40</v>
      </c>
      <c r="K1" s="53" t="s">
        <v>42</v>
      </c>
      <c r="L1" s="53" t="s">
        <v>44</v>
      </c>
      <c r="M1" s="54" t="s">
        <v>19</v>
      </c>
      <c r="N1" s="53" t="s">
        <v>49</v>
      </c>
      <c r="O1" s="53" t="s">
        <v>51</v>
      </c>
      <c r="P1" s="53" t="s">
        <v>54</v>
      </c>
      <c r="Q1" s="53" t="s">
        <v>56</v>
      </c>
      <c r="R1" s="53" t="s">
        <v>60</v>
      </c>
      <c r="S1" s="53" t="s">
        <v>63</v>
      </c>
      <c r="T1" s="53" t="s">
        <v>66</v>
      </c>
      <c r="U1" s="53" t="s">
        <v>69</v>
      </c>
      <c r="V1" s="53" t="s">
        <v>71</v>
      </c>
      <c r="W1" s="54" t="s">
        <v>58</v>
      </c>
    </row>
    <row r="2">
      <c r="A2" s="57">
        <v>1.0</v>
      </c>
      <c r="B2" s="58">
        <v>10.0</v>
      </c>
      <c r="C2" s="58">
        <v>15.0</v>
      </c>
      <c r="D2" s="58">
        <v>15.0</v>
      </c>
      <c r="E2" s="58">
        <v>5.0</v>
      </c>
      <c r="F2" s="58" t="s">
        <v>265</v>
      </c>
      <c r="G2" s="58">
        <v>6.0</v>
      </c>
      <c r="H2" s="58">
        <v>5.0</v>
      </c>
      <c r="I2" s="58">
        <v>7.0</v>
      </c>
      <c r="J2" s="58">
        <v>30.0</v>
      </c>
      <c r="K2" s="58">
        <v>10.0</v>
      </c>
      <c r="L2" s="58">
        <v>10.0</v>
      </c>
      <c r="M2" s="58">
        <v>8.0</v>
      </c>
      <c r="N2" s="58">
        <v>15.0</v>
      </c>
      <c r="O2" s="58">
        <v>10.0</v>
      </c>
      <c r="P2" s="58">
        <v>5.0</v>
      </c>
      <c r="Q2" s="58">
        <v>5.0</v>
      </c>
      <c r="R2" s="58">
        <v>10.0</v>
      </c>
      <c r="S2" s="58">
        <v>15.0</v>
      </c>
      <c r="T2" s="58">
        <v>15.0</v>
      </c>
      <c r="U2" s="58">
        <v>15.0</v>
      </c>
      <c r="V2" s="58">
        <v>15.0</v>
      </c>
      <c r="W2" s="58">
        <v>10.0</v>
      </c>
    </row>
    <row r="3">
      <c r="A3" s="57">
        <v>2.0</v>
      </c>
      <c r="B3" s="58">
        <v>10.0</v>
      </c>
      <c r="C3" s="58">
        <v>10.0</v>
      </c>
      <c r="D3" s="58">
        <v>7.0</v>
      </c>
      <c r="E3" s="58">
        <v>5.0</v>
      </c>
      <c r="F3" s="58" t="s">
        <v>265</v>
      </c>
      <c r="G3" s="58">
        <v>7.0</v>
      </c>
      <c r="H3" s="58">
        <v>5.0</v>
      </c>
      <c r="I3" s="58">
        <v>8.0</v>
      </c>
      <c r="J3" s="58">
        <v>5.0</v>
      </c>
      <c r="K3" s="58">
        <v>10.0</v>
      </c>
      <c r="L3" s="58">
        <v>10.0</v>
      </c>
      <c r="M3" s="58">
        <v>7.0</v>
      </c>
      <c r="N3" s="58">
        <v>5.0</v>
      </c>
      <c r="O3" s="58">
        <v>5.0</v>
      </c>
      <c r="P3" s="58">
        <v>5.0</v>
      </c>
      <c r="Q3" s="58">
        <v>5.0</v>
      </c>
      <c r="R3" s="58">
        <v>10.0</v>
      </c>
      <c r="S3" s="58">
        <v>10.0</v>
      </c>
      <c r="T3" s="58">
        <v>5.0</v>
      </c>
      <c r="U3" s="58">
        <v>5.0</v>
      </c>
      <c r="V3" s="58">
        <v>5.0</v>
      </c>
      <c r="W3" s="58">
        <v>10.0</v>
      </c>
    </row>
    <row r="4">
      <c r="A4" s="57">
        <v>3.0</v>
      </c>
      <c r="B4" s="58">
        <v>15.0</v>
      </c>
      <c r="C4" s="58">
        <v>10.0</v>
      </c>
      <c r="D4" s="58">
        <v>8.0</v>
      </c>
      <c r="E4" s="58">
        <v>5.0</v>
      </c>
      <c r="F4" s="58" t="s">
        <v>265</v>
      </c>
      <c r="G4" s="58">
        <v>8.0</v>
      </c>
      <c r="H4" s="58">
        <v>7.0</v>
      </c>
      <c r="I4" s="58">
        <v>14.0</v>
      </c>
      <c r="J4" s="58">
        <v>5.0</v>
      </c>
      <c r="K4" s="58">
        <v>5.0</v>
      </c>
      <c r="L4" s="58">
        <v>10.0</v>
      </c>
      <c r="M4" s="58">
        <v>7.0</v>
      </c>
      <c r="N4" s="58">
        <v>5.0</v>
      </c>
      <c r="O4" s="58">
        <v>5.0</v>
      </c>
      <c r="P4" s="58">
        <v>5.0</v>
      </c>
      <c r="Q4" s="58">
        <v>5.0</v>
      </c>
      <c r="R4" s="58">
        <v>10.0</v>
      </c>
      <c r="S4" s="58">
        <v>5.0</v>
      </c>
      <c r="T4" s="58">
        <v>5.0</v>
      </c>
      <c r="U4" s="58">
        <v>5.0</v>
      </c>
      <c r="V4" s="58">
        <v>5.0</v>
      </c>
      <c r="W4" s="58">
        <v>10.0</v>
      </c>
    </row>
    <row r="5">
      <c r="A5" s="60">
        <v>4.0</v>
      </c>
      <c r="B5" s="61">
        <v>20.0</v>
      </c>
      <c r="C5" s="61">
        <v>10.0</v>
      </c>
      <c r="D5" s="61">
        <v>9.0</v>
      </c>
      <c r="E5" s="61">
        <v>5.0</v>
      </c>
      <c r="F5" s="61" t="s">
        <v>265</v>
      </c>
      <c r="G5" s="61">
        <v>9.0</v>
      </c>
      <c r="H5" s="61">
        <v>7.0</v>
      </c>
      <c r="I5" s="61">
        <v>16.0</v>
      </c>
      <c r="J5" s="61">
        <v>10.0</v>
      </c>
      <c r="K5" s="61">
        <v>5.0</v>
      </c>
      <c r="L5" s="61">
        <v>10.0</v>
      </c>
      <c r="M5" s="61">
        <v>14.0</v>
      </c>
      <c r="N5" s="61">
        <v>5.0</v>
      </c>
      <c r="O5" s="61">
        <v>5.0</v>
      </c>
      <c r="P5" s="61">
        <v>10.0</v>
      </c>
      <c r="Q5" s="61">
        <v>10.0</v>
      </c>
      <c r="R5" s="61">
        <v>10.0</v>
      </c>
      <c r="S5" s="61">
        <v>5.0</v>
      </c>
      <c r="T5" s="61">
        <v>10.0</v>
      </c>
      <c r="U5" s="61">
        <v>5.0</v>
      </c>
      <c r="V5" s="61">
        <v>5.0</v>
      </c>
      <c r="W5" s="61">
        <v>10.0</v>
      </c>
    </row>
    <row r="6">
      <c r="A6" s="60">
        <v>5.0</v>
      </c>
      <c r="B6" s="61">
        <v>15.0</v>
      </c>
      <c r="C6" s="61">
        <v>30.0</v>
      </c>
      <c r="D6" s="61">
        <v>20.0</v>
      </c>
      <c r="E6" s="61">
        <v>15.0</v>
      </c>
      <c r="F6" s="61" t="s">
        <v>265</v>
      </c>
      <c r="G6" s="61">
        <v>10.0</v>
      </c>
      <c r="H6" s="61">
        <v>13.0</v>
      </c>
      <c r="I6" s="61">
        <v>20.0</v>
      </c>
      <c r="J6" s="61">
        <v>10.0</v>
      </c>
      <c r="K6" s="61">
        <v>10.0</v>
      </c>
      <c r="L6" s="61">
        <v>10.0</v>
      </c>
      <c r="M6" s="61">
        <v>16.0</v>
      </c>
      <c r="N6" s="61">
        <v>30.0</v>
      </c>
      <c r="O6" s="61">
        <v>15.0</v>
      </c>
      <c r="P6" s="61">
        <v>10.0</v>
      </c>
      <c r="Q6" s="61">
        <v>10.0</v>
      </c>
      <c r="R6" s="61">
        <v>10.0</v>
      </c>
      <c r="S6" s="61">
        <v>5.0</v>
      </c>
      <c r="T6" s="61">
        <v>5.0</v>
      </c>
      <c r="U6" s="61">
        <v>15.0</v>
      </c>
      <c r="V6" s="61">
        <v>10.0</v>
      </c>
      <c r="W6" s="61">
        <v>10.0</v>
      </c>
    </row>
    <row r="7">
      <c r="A7" s="60">
        <v>6.0</v>
      </c>
      <c r="B7" s="61">
        <v>15.0</v>
      </c>
      <c r="C7" s="61">
        <v>10.0</v>
      </c>
      <c r="D7" s="61">
        <v>16.0</v>
      </c>
      <c r="E7" s="61">
        <v>20.0</v>
      </c>
      <c r="F7" s="61" t="s">
        <v>265</v>
      </c>
      <c r="G7" s="61">
        <v>35.0</v>
      </c>
      <c r="H7" s="61">
        <v>23.0</v>
      </c>
      <c r="I7" s="61">
        <v>20.0</v>
      </c>
      <c r="J7" s="61">
        <v>5.0</v>
      </c>
      <c r="K7" s="61">
        <v>25.0</v>
      </c>
      <c r="L7" s="61">
        <v>10.0</v>
      </c>
      <c r="M7" s="61">
        <v>16.0</v>
      </c>
      <c r="N7" s="61">
        <v>5.0</v>
      </c>
      <c r="O7" s="61">
        <v>20.0</v>
      </c>
      <c r="P7" s="61">
        <v>20.0</v>
      </c>
      <c r="Q7" s="61">
        <v>20.0</v>
      </c>
      <c r="R7" s="61">
        <v>10.0</v>
      </c>
      <c r="S7" s="61">
        <v>25.0</v>
      </c>
      <c r="T7" s="61">
        <v>25.0</v>
      </c>
      <c r="U7" s="61">
        <v>15.0</v>
      </c>
      <c r="V7" s="61">
        <v>5.0</v>
      </c>
      <c r="W7" s="61">
        <v>10.0</v>
      </c>
    </row>
    <row r="8">
      <c r="A8" s="63">
        <v>7.0</v>
      </c>
      <c r="B8" s="64">
        <v>10.0</v>
      </c>
      <c r="C8" s="64">
        <v>7.0</v>
      </c>
      <c r="D8" s="64">
        <v>14.0</v>
      </c>
      <c r="E8" s="64">
        <v>20.0</v>
      </c>
      <c r="F8" s="64" t="s">
        <v>265</v>
      </c>
      <c r="G8" s="64">
        <v>10.0</v>
      </c>
      <c r="H8" s="64">
        <v>20.0</v>
      </c>
      <c r="I8" s="64">
        <v>5.0</v>
      </c>
      <c r="J8" s="64">
        <v>5.0</v>
      </c>
      <c r="K8" s="64">
        <v>20.0</v>
      </c>
      <c r="L8" s="64">
        <v>10.0</v>
      </c>
      <c r="M8" s="64">
        <v>12.0</v>
      </c>
      <c r="N8" s="64">
        <v>15.0</v>
      </c>
      <c r="O8" s="64">
        <v>20.0</v>
      </c>
      <c r="P8" s="64">
        <v>20.0</v>
      </c>
      <c r="Q8" s="64">
        <v>15.0</v>
      </c>
      <c r="R8" s="64">
        <v>10.0</v>
      </c>
      <c r="S8" s="64">
        <v>15.0</v>
      </c>
      <c r="T8" s="64">
        <v>10.0</v>
      </c>
      <c r="U8" s="64">
        <v>15.0</v>
      </c>
      <c r="V8" s="64">
        <v>30.0</v>
      </c>
      <c r="W8" s="64">
        <v>10.0</v>
      </c>
    </row>
    <row r="9">
      <c r="A9" s="63">
        <v>8.0</v>
      </c>
      <c r="B9" s="64">
        <v>2.0</v>
      </c>
      <c r="C9" s="64">
        <v>3.0</v>
      </c>
      <c r="D9" s="64">
        <v>6.0</v>
      </c>
      <c r="E9" s="64">
        <v>10.0</v>
      </c>
      <c r="F9" s="64" t="s">
        <v>265</v>
      </c>
      <c r="G9" s="64">
        <v>5.0</v>
      </c>
      <c r="H9" s="64">
        <v>10.0</v>
      </c>
      <c r="I9" s="64">
        <v>5.0</v>
      </c>
      <c r="J9" s="64">
        <v>5.0</v>
      </c>
      <c r="K9" s="64">
        <v>5.0</v>
      </c>
      <c r="L9" s="64">
        <v>10.0</v>
      </c>
      <c r="M9" s="64">
        <v>12.0</v>
      </c>
      <c r="N9" s="64">
        <v>10.0</v>
      </c>
      <c r="O9" s="64">
        <v>5.0</v>
      </c>
      <c r="P9" s="64">
        <v>5.0</v>
      </c>
      <c r="Q9" s="64">
        <v>10.0</v>
      </c>
      <c r="R9" s="64">
        <v>10.0</v>
      </c>
      <c r="S9" s="64">
        <v>5.0</v>
      </c>
      <c r="T9" s="64">
        <v>10.0</v>
      </c>
      <c r="U9" s="64">
        <v>5.0</v>
      </c>
      <c r="V9" s="64">
        <v>5.0</v>
      </c>
      <c r="W9" s="64">
        <v>10.0</v>
      </c>
    </row>
    <row r="10">
      <c r="A10" s="63">
        <v>9.0</v>
      </c>
      <c r="B10" s="64">
        <v>2.0</v>
      </c>
      <c r="C10" s="64">
        <v>3.0</v>
      </c>
      <c r="D10" s="64">
        <v>3.0</v>
      </c>
      <c r="E10" s="64">
        <v>8.0</v>
      </c>
      <c r="F10" s="64" t="s">
        <v>265</v>
      </c>
      <c r="G10" s="64">
        <v>5.0</v>
      </c>
      <c r="H10" s="64">
        <v>5.0</v>
      </c>
      <c r="I10" s="64">
        <v>3.0</v>
      </c>
      <c r="J10" s="64">
        <v>5.0</v>
      </c>
      <c r="K10" s="64">
        <v>5.0</v>
      </c>
      <c r="L10" s="64">
        <v>10.0</v>
      </c>
      <c r="M10" s="64">
        <v>4.0</v>
      </c>
      <c r="N10" s="64">
        <v>5.0</v>
      </c>
      <c r="O10" s="64">
        <v>5.0</v>
      </c>
      <c r="P10" s="64">
        <v>5.0</v>
      </c>
      <c r="Q10" s="64">
        <v>10.0</v>
      </c>
      <c r="R10" s="64">
        <v>10.0</v>
      </c>
      <c r="S10" s="64">
        <v>5.0</v>
      </c>
      <c r="T10" s="64">
        <v>10.0</v>
      </c>
      <c r="U10" s="64">
        <v>5.0</v>
      </c>
      <c r="V10" s="64">
        <v>5.0</v>
      </c>
      <c r="W10" s="64">
        <v>10.0</v>
      </c>
    </row>
    <row r="11">
      <c r="A11" s="66">
        <v>10.0</v>
      </c>
      <c r="B11" s="67">
        <v>1.0</v>
      </c>
      <c r="C11" s="67">
        <v>2.0</v>
      </c>
      <c r="D11" s="67">
        <v>2.0</v>
      </c>
      <c r="E11" s="67">
        <v>7.0</v>
      </c>
      <c r="F11" s="67" t="s">
        <v>265</v>
      </c>
      <c r="G11" s="67">
        <v>5.0</v>
      </c>
      <c r="H11" s="67">
        <v>5.0</v>
      </c>
      <c r="I11" s="67">
        <v>2.0</v>
      </c>
      <c r="J11" s="67">
        <v>20.0</v>
      </c>
      <c r="K11" s="67">
        <v>5.0</v>
      </c>
      <c r="L11" s="67">
        <v>10.0</v>
      </c>
      <c r="M11" s="67">
        <v>4.0</v>
      </c>
      <c r="N11" s="67">
        <v>5.0</v>
      </c>
      <c r="O11" s="67">
        <v>10.0</v>
      </c>
      <c r="P11" s="67">
        <v>15.0</v>
      </c>
      <c r="Q11" s="67">
        <v>10.0</v>
      </c>
      <c r="R11" s="67">
        <v>10.0</v>
      </c>
      <c r="S11" s="67">
        <v>10.0</v>
      </c>
      <c r="T11" s="67">
        <v>5.0</v>
      </c>
      <c r="U11" s="67">
        <v>15.0</v>
      </c>
      <c r="V11" s="67">
        <v>15.0</v>
      </c>
      <c r="W11" s="67">
        <v>10.0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15</v>
      </c>
      <c r="B1" s="53" t="s">
        <v>22</v>
      </c>
      <c r="C1" s="53" t="s">
        <v>25</v>
      </c>
      <c r="D1" s="53" t="s">
        <v>27</v>
      </c>
      <c r="E1" s="53" t="s">
        <v>29</v>
      </c>
      <c r="F1" s="53" t="s">
        <v>31</v>
      </c>
      <c r="G1" s="53" t="s">
        <v>34</v>
      </c>
      <c r="H1" s="53" t="s">
        <v>36</v>
      </c>
      <c r="I1" s="53" t="s">
        <v>38</v>
      </c>
      <c r="J1" s="53" t="s">
        <v>40</v>
      </c>
      <c r="K1" s="53" t="s">
        <v>42</v>
      </c>
      <c r="L1" s="53" t="s">
        <v>44</v>
      </c>
      <c r="M1" s="54" t="s">
        <v>19</v>
      </c>
      <c r="N1" s="53" t="s">
        <v>49</v>
      </c>
      <c r="O1" s="53" t="s">
        <v>51</v>
      </c>
      <c r="P1" s="53" t="s">
        <v>54</v>
      </c>
      <c r="Q1" s="53" t="s">
        <v>56</v>
      </c>
      <c r="R1" s="53" t="s">
        <v>60</v>
      </c>
      <c r="S1" s="53" t="s">
        <v>63</v>
      </c>
      <c r="T1" s="53" t="s">
        <v>66</v>
      </c>
      <c r="U1" s="53" t="s">
        <v>69</v>
      </c>
      <c r="V1" s="53" t="s">
        <v>71</v>
      </c>
      <c r="W1" s="54" t="s">
        <v>58</v>
      </c>
    </row>
    <row r="2">
      <c r="A2" s="57">
        <v>1.0</v>
      </c>
      <c r="B2" s="58">
        <v>15.0</v>
      </c>
      <c r="C2" s="58">
        <v>10.0</v>
      </c>
      <c r="D2" s="58">
        <v>15.0</v>
      </c>
      <c r="E2" s="58">
        <v>15.0</v>
      </c>
      <c r="F2" s="71" t="s">
        <v>267</v>
      </c>
      <c r="G2" s="58">
        <v>15.0</v>
      </c>
      <c r="H2" s="58">
        <v>15.0</v>
      </c>
      <c r="I2" s="58">
        <v>5.0</v>
      </c>
      <c r="J2" s="58">
        <v>20.0</v>
      </c>
      <c r="K2" s="58">
        <v>10.0</v>
      </c>
      <c r="L2" s="58">
        <v>10.0</v>
      </c>
      <c r="M2" s="58">
        <v>5.0</v>
      </c>
      <c r="N2" s="58">
        <v>10.0</v>
      </c>
      <c r="O2" s="58">
        <v>5.0</v>
      </c>
      <c r="P2" s="58">
        <v>10.0</v>
      </c>
      <c r="Q2" s="58">
        <v>15.0</v>
      </c>
      <c r="R2" s="58">
        <v>10.0</v>
      </c>
      <c r="S2" s="58">
        <v>25.0</v>
      </c>
      <c r="T2" s="58">
        <v>15.0</v>
      </c>
      <c r="U2" s="58">
        <v>20.0</v>
      </c>
      <c r="V2" s="58">
        <v>20.0</v>
      </c>
      <c r="W2" s="58">
        <v>10.0</v>
      </c>
    </row>
    <row r="3">
      <c r="A3" s="57">
        <v>2.0</v>
      </c>
      <c r="B3" s="58">
        <v>15.0</v>
      </c>
      <c r="C3" s="58">
        <v>10.0</v>
      </c>
      <c r="D3" s="58">
        <v>5.0</v>
      </c>
      <c r="E3" s="58">
        <v>10.0</v>
      </c>
      <c r="F3" s="72"/>
      <c r="G3" s="58">
        <v>15.0</v>
      </c>
      <c r="H3" s="58">
        <v>15.0</v>
      </c>
      <c r="I3" s="58">
        <v>5.0</v>
      </c>
      <c r="J3" s="58">
        <v>5.0</v>
      </c>
      <c r="K3" s="58">
        <v>5.0</v>
      </c>
      <c r="L3" s="58">
        <v>10.0</v>
      </c>
      <c r="M3" s="58">
        <v>10.0</v>
      </c>
      <c r="N3" s="58">
        <v>10.0</v>
      </c>
      <c r="O3" s="58">
        <v>5.0</v>
      </c>
      <c r="P3" s="58">
        <v>10.0</v>
      </c>
      <c r="Q3" s="58">
        <v>5.0</v>
      </c>
      <c r="R3" s="58">
        <v>10.0</v>
      </c>
      <c r="S3" s="58">
        <v>5.0</v>
      </c>
      <c r="T3" s="58">
        <v>5.0</v>
      </c>
      <c r="U3" s="58">
        <v>5.0</v>
      </c>
      <c r="V3" s="58">
        <v>5.0</v>
      </c>
      <c r="W3" s="58">
        <v>10.0</v>
      </c>
    </row>
    <row r="4">
      <c r="A4" s="57">
        <v>3.0</v>
      </c>
      <c r="B4" s="58">
        <v>10.0</v>
      </c>
      <c r="C4" s="58">
        <v>5.0</v>
      </c>
      <c r="D4" s="58">
        <v>5.0</v>
      </c>
      <c r="E4" s="58">
        <v>10.0</v>
      </c>
      <c r="F4" s="72"/>
      <c r="G4" s="58">
        <v>15.0</v>
      </c>
      <c r="H4" s="58">
        <v>15.0</v>
      </c>
      <c r="I4" s="58">
        <v>7.0</v>
      </c>
      <c r="J4" s="58">
        <v>5.0</v>
      </c>
      <c r="K4" s="58">
        <v>5.0</v>
      </c>
      <c r="L4" s="58">
        <v>10.0</v>
      </c>
      <c r="M4" s="58">
        <v>15.0</v>
      </c>
      <c r="N4" s="58">
        <v>5.0</v>
      </c>
      <c r="O4" s="58">
        <v>5.0</v>
      </c>
      <c r="P4" s="58">
        <v>5.0</v>
      </c>
      <c r="Q4" s="58">
        <v>5.0</v>
      </c>
      <c r="R4" s="58">
        <v>10.0</v>
      </c>
      <c r="S4" s="58">
        <v>5.0</v>
      </c>
      <c r="T4" s="58">
        <v>5.0</v>
      </c>
      <c r="U4" s="58">
        <v>5.0</v>
      </c>
      <c r="V4" s="58">
        <v>5.0</v>
      </c>
      <c r="W4" s="58">
        <v>10.0</v>
      </c>
    </row>
    <row r="5">
      <c r="A5" s="60">
        <v>4.0</v>
      </c>
      <c r="B5" s="61">
        <v>10.0</v>
      </c>
      <c r="C5" s="61">
        <v>5.0</v>
      </c>
      <c r="D5" s="61">
        <v>5.0</v>
      </c>
      <c r="E5" s="61">
        <v>5.0</v>
      </c>
      <c r="F5" s="72"/>
      <c r="G5" s="61">
        <v>5.0</v>
      </c>
      <c r="H5" s="61">
        <v>5.0</v>
      </c>
      <c r="I5" s="61">
        <v>9.0</v>
      </c>
      <c r="J5" s="61">
        <v>5.0</v>
      </c>
      <c r="K5" s="61">
        <v>5.0</v>
      </c>
      <c r="L5" s="61">
        <v>10.0</v>
      </c>
      <c r="M5" s="61">
        <v>10.0</v>
      </c>
      <c r="N5" s="61">
        <v>10.0</v>
      </c>
      <c r="O5" s="61">
        <v>15.0</v>
      </c>
      <c r="P5" s="61">
        <v>5.0</v>
      </c>
      <c r="Q5" s="61">
        <v>5.0</v>
      </c>
      <c r="R5" s="61">
        <v>10.0</v>
      </c>
      <c r="S5" s="61">
        <v>5.0</v>
      </c>
      <c r="T5" s="61">
        <v>15.0</v>
      </c>
      <c r="U5" s="61">
        <v>5.0</v>
      </c>
      <c r="V5" s="61">
        <v>5.0</v>
      </c>
      <c r="W5" s="61">
        <v>10.0</v>
      </c>
    </row>
    <row r="6">
      <c r="A6" s="60">
        <v>5.0</v>
      </c>
      <c r="B6" s="61">
        <v>20.0</v>
      </c>
      <c r="C6" s="61">
        <v>15.0</v>
      </c>
      <c r="D6" s="61">
        <v>15.0</v>
      </c>
      <c r="E6" s="61">
        <v>20.0</v>
      </c>
      <c r="F6" s="72"/>
      <c r="G6" s="61">
        <v>25.0</v>
      </c>
      <c r="H6" s="61">
        <v>25.0</v>
      </c>
      <c r="I6" s="61">
        <v>28.0</v>
      </c>
      <c r="J6" s="61">
        <v>20.0</v>
      </c>
      <c r="K6" s="61">
        <v>15.0</v>
      </c>
      <c r="L6" s="61">
        <v>10.0</v>
      </c>
      <c r="M6" s="61">
        <v>25.0</v>
      </c>
      <c r="N6" s="61">
        <v>20.0</v>
      </c>
      <c r="O6" s="61">
        <v>25.0</v>
      </c>
      <c r="P6" s="61">
        <v>10.0</v>
      </c>
      <c r="Q6" s="61">
        <v>15.0</v>
      </c>
      <c r="R6" s="61">
        <v>10.0</v>
      </c>
      <c r="S6" s="61">
        <v>10.0</v>
      </c>
      <c r="T6" s="61">
        <v>5.0</v>
      </c>
      <c r="U6" s="61">
        <v>20.0</v>
      </c>
      <c r="V6" s="61">
        <v>5.0</v>
      </c>
      <c r="W6" s="61">
        <v>10.0</v>
      </c>
    </row>
    <row r="7">
      <c r="A7" s="60">
        <v>6.0</v>
      </c>
      <c r="B7" s="61">
        <v>15.0</v>
      </c>
      <c r="C7" s="61">
        <v>25.0</v>
      </c>
      <c r="D7" s="61">
        <v>15.0</v>
      </c>
      <c r="E7" s="61">
        <v>12.0</v>
      </c>
      <c r="F7" s="72"/>
      <c r="G7" s="61">
        <v>10.0</v>
      </c>
      <c r="H7" s="61">
        <v>10.0</v>
      </c>
      <c r="I7" s="61">
        <v>18.0</v>
      </c>
      <c r="J7" s="61">
        <v>10.0</v>
      </c>
      <c r="K7" s="61">
        <v>25.0</v>
      </c>
      <c r="L7" s="61">
        <v>10.0</v>
      </c>
      <c r="M7" s="61">
        <v>15.0</v>
      </c>
      <c r="N7" s="61">
        <v>20.0</v>
      </c>
      <c r="O7" s="61">
        <v>20.0</v>
      </c>
      <c r="P7" s="61">
        <v>15.0</v>
      </c>
      <c r="Q7" s="61">
        <v>20.0</v>
      </c>
      <c r="R7" s="61">
        <v>10.0</v>
      </c>
      <c r="S7" s="61">
        <v>15.0</v>
      </c>
      <c r="T7" s="61">
        <v>15.0</v>
      </c>
      <c r="U7" s="61">
        <v>10.0</v>
      </c>
      <c r="V7" s="61">
        <v>5.0</v>
      </c>
      <c r="W7" s="61">
        <v>10.0</v>
      </c>
    </row>
    <row r="8">
      <c r="A8" s="63">
        <v>7.0</v>
      </c>
      <c r="B8" s="64">
        <v>5.0</v>
      </c>
      <c r="C8" s="64">
        <v>15.0</v>
      </c>
      <c r="D8" s="64">
        <v>15.0</v>
      </c>
      <c r="E8" s="64">
        <v>12.0</v>
      </c>
      <c r="F8" s="72"/>
      <c r="G8" s="64">
        <v>5.0</v>
      </c>
      <c r="H8" s="64">
        <v>5.0</v>
      </c>
      <c r="I8" s="64">
        <v>10.0</v>
      </c>
      <c r="J8" s="64">
        <v>10.0</v>
      </c>
      <c r="K8" s="64">
        <v>12.0</v>
      </c>
      <c r="L8" s="64">
        <v>10.0</v>
      </c>
      <c r="M8" s="64">
        <v>5.0</v>
      </c>
      <c r="N8" s="64">
        <v>10.0</v>
      </c>
      <c r="O8" s="64">
        <v>15.0</v>
      </c>
      <c r="P8" s="64">
        <v>25.0</v>
      </c>
      <c r="Q8" s="64">
        <v>5.0</v>
      </c>
      <c r="R8" s="64">
        <v>10.0</v>
      </c>
      <c r="S8" s="64">
        <v>15.0</v>
      </c>
      <c r="T8" s="64">
        <v>15.0</v>
      </c>
      <c r="U8" s="64">
        <v>5.0</v>
      </c>
      <c r="V8" s="64">
        <v>30.0</v>
      </c>
      <c r="W8" s="64">
        <v>10.0</v>
      </c>
    </row>
    <row r="9">
      <c r="A9" s="63">
        <v>8.0</v>
      </c>
      <c r="B9" s="64">
        <v>5.0</v>
      </c>
      <c r="C9" s="64">
        <v>5.0</v>
      </c>
      <c r="D9" s="64">
        <v>12.0</v>
      </c>
      <c r="E9" s="64">
        <v>8.0</v>
      </c>
      <c r="F9" s="72"/>
      <c r="G9" s="64">
        <v>5.0</v>
      </c>
      <c r="H9" s="64">
        <v>5.0</v>
      </c>
      <c r="I9" s="64">
        <v>8.0</v>
      </c>
      <c r="J9" s="64">
        <v>5.0</v>
      </c>
      <c r="K9" s="64">
        <v>10.0</v>
      </c>
      <c r="L9" s="64">
        <v>10.0</v>
      </c>
      <c r="M9" s="64">
        <v>5.0</v>
      </c>
      <c r="N9" s="64">
        <v>5.0</v>
      </c>
      <c r="O9" s="64">
        <v>5.0</v>
      </c>
      <c r="P9" s="64">
        <v>10.0</v>
      </c>
      <c r="Q9" s="64">
        <v>10.0</v>
      </c>
      <c r="R9" s="64">
        <v>10.0</v>
      </c>
      <c r="S9" s="64">
        <v>5.0</v>
      </c>
      <c r="T9" s="64">
        <v>5.0</v>
      </c>
      <c r="U9" s="64">
        <v>5.0</v>
      </c>
      <c r="V9" s="64">
        <v>5.0</v>
      </c>
      <c r="W9" s="64">
        <v>10.0</v>
      </c>
    </row>
    <row r="10">
      <c r="A10" s="63">
        <v>9.0</v>
      </c>
      <c r="B10" s="64">
        <v>3.0</v>
      </c>
      <c r="C10" s="64">
        <v>5.0</v>
      </c>
      <c r="D10" s="64">
        <v>8.0</v>
      </c>
      <c r="E10" s="64">
        <v>5.0</v>
      </c>
      <c r="F10" s="72"/>
      <c r="G10" s="64">
        <v>3.0</v>
      </c>
      <c r="H10" s="64">
        <v>3.0</v>
      </c>
      <c r="I10" s="64">
        <v>5.0</v>
      </c>
      <c r="J10" s="64">
        <v>5.0</v>
      </c>
      <c r="K10" s="64">
        <v>8.0</v>
      </c>
      <c r="L10" s="64">
        <v>10.0</v>
      </c>
      <c r="M10" s="64">
        <v>5.0</v>
      </c>
      <c r="N10" s="64">
        <v>5.0</v>
      </c>
      <c r="O10" s="64">
        <v>3.0</v>
      </c>
      <c r="P10" s="64">
        <v>5.0</v>
      </c>
      <c r="Q10" s="64">
        <v>15.0</v>
      </c>
      <c r="R10" s="64">
        <v>10.0</v>
      </c>
      <c r="S10" s="64">
        <v>5.0</v>
      </c>
      <c r="T10" s="64">
        <v>5.0</v>
      </c>
      <c r="U10" s="64">
        <v>5.0</v>
      </c>
      <c r="V10" s="64">
        <v>5.0</v>
      </c>
      <c r="W10" s="64">
        <v>10.0</v>
      </c>
    </row>
    <row r="11">
      <c r="A11" s="66">
        <v>10.0</v>
      </c>
      <c r="B11" s="67">
        <v>2.0</v>
      </c>
      <c r="C11" s="67">
        <v>5.0</v>
      </c>
      <c r="D11" s="67">
        <v>5.0</v>
      </c>
      <c r="E11" s="67">
        <v>3.0</v>
      </c>
      <c r="F11" s="73"/>
      <c r="G11" s="67">
        <v>2.0</v>
      </c>
      <c r="H11" s="67">
        <v>2.0</v>
      </c>
      <c r="I11" s="67">
        <v>5.0</v>
      </c>
      <c r="J11" s="67">
        <v>15.0</v>
      </c>
      <c r="K11" s="67">
        <v>5.0</v>
      </c>
      <c r="L11" s="67">
        <v>10.0</v>
      </c>
      <c r="M11" s="67">
        <v>5.0</v>
      </c>
      <c r="N11" s="67">
        <v>5.0</v>
      </c>
      <c r="O11" s="67">
        <v>2.0</v>
      </c>
      <c r="P11" s="67">
        <v>5.0</v>
      </c>
      <c r="Q11" s="67">
        <v>5.0</v>
      </c>
      <c r="R11" s="67">
        <v>10.0</v>
      </c>
      <c r="S11" s="67">
        <v>10.0</v>
      </c>
      <c r="T11" s="67">
        <v>15.0</v>
      </c>
      <c r="U11" s="67">
        <v>20.0</v>
      </c>
      <c r="V11" s="67">
        <v>15.0</v>
      </c>
      <c r="W11" s="67">
        <v>10.0</v>
      </c>
    </row>
  </sheetData>
  <mergeCells count="1">
    <mergeCell ref="F2:F1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15</v>
      </c>
      <c r="B1" s="53" t="s">
        <v>22</v>
      </c>
      <c r="C1" s="53" t="s">
        <v>25</v>
      </c>
      <c r="D1" s="53" t="s">
        <v>27</v>
      </c>
      <c r="E1" s="53" t="s">
        <v>29</v>
      </c>
      <c r="F1" s="53" t="s">
        <v>31</v>
      </c>
      <c r="G1" s="53" t="s">
        <v>34</v>
      </c>
      <c r="H1" s="53" t="s">
        <v>36</v>
      </c>
      <c r="I1" s="53" t="s">
        <v>38</v>
      </c>
      <c r="J1" s="53" t="s">
        <v>40</v>
      </c>
      <c r="K1" s="53" t="s">
        <v>42</v>
      </c>
      <c r="L1" s="53" t="s">
        <v>44</v>
      </c>
      <c r="M1" s="53" t="s">
        <v>268</v>
      </c>
      <c r="N1" s="53" t="s">
        <v>49</v>
      </c>
      <c r="O1" s="53" t="s">
        <v>51</v>
      </c>
      <c r="P1" s="53" t="s">
        <v>54</v>
      </c>
      <c r="Q1" s="53" t="s">
        <v>56</v>
      </c>
      <c r="R1" s="53" t="s">
        <v>60</v>
      </c>
      <c r="S1" s="53" t="s">
        <v>63</v>
      </c>
      <c r="T1" s="53" t="s">
        <v>66</v>
      </c>
      <c r="U1" s="53" t="s">
        <v>69</v>
      </c>
      <c r="V1" s="53" t="s">
        <v>71</v>
      </c>
      <c r="W1" s="54" t="s">
        <v>58</v>
      </c>
    </row>
    <row r="2">
      <c r="A2" s="57">
        <v>1.0</v>
      </c>
      <c r="B2" s="58">
        <v>5.0</v>
      </c>
      <c r="C2" s="58">
        <v>15.0</v>
      </c>
      <c r="D2" s="58">
        <v>10.0</v>
      </c>
      <c r="E2" s="58">
        <v>5.0</v>
      </c>
      <c r="F2" s="58" t="s">
        <v>265</v>
      </c>
      <c r="G2" s="58">
        <v>5.0</v>
      </c>
      <c r="H2" s="58">
        <v>2.0</v>
      </c>
      <c r="I2" s="58">
        <v>10.0</v>
      </c>
      <c r="J2" s="58">
        <v>20.0</v>
      </c>
      <c r="K2" s="58">
        <v>20.0</v>
      </c>
      <c r="L2" s="58">
        <v>10.0</v>
      </c>
      <c r="M2" s="58">
        <v>10.0</v>
      </c>
      <c r="N2" s="58">
        <v>5.0</v>
      </c>
      <c r="O2" s="58">
        <v>5.0</v>
      </c>
      <c r="P2" s="58">
        <v>15.0</v>
      </c>
      <c r="Q2" s="58">
        <v>20.0</v>
      </c>
      <c r="R2" s="58">
        <v>10.0</v>
      </c>
      <c r="S2" s="58">
        <v>20.0</v>
      </c>
      <c r="T2" s="58">
        <v>15.0</v>
      </c>
      <c r="U2" s="58">
        <v>20.0</v>
      </c>
      <c r="V2" s="58">
        <v>20.0</v>
      </c>
      <c r="W2" s="58">
        <v>10.0</v>
      </c>
    </row>
    <row r="3">
      <c r="A3" s="57">
        <v>2.0</v>
      </c>
      <c r="B3" s="58">
        <v>10.0</v>
      </c>
      <c r="C3" s="58">
        <v>15.0</v>
      </c>
      <c r="D3" s="58">
        <v>5.0</v>
      </c>
      <c r="E3" s="58">
        <v>5.0</v>
      </c>
      <c r="F3" s="58" t="s">
        <v>265</v>
      </c>
      <c r="G3" s="58">
        <v>5.0</v>
      </c>
      <c r="H3" s="58">
        <v>3.0</v>
      </c>
      <c r="I3" s="58">
        <v>10.0</v>
      </c>
      <c r="J3" s="58">
        <v>20.0</v>
      </c>
      <c r="K3" s="58">
        <v>4.0</v>
      </c>
      <c r="L3" s="58">
        <v>10.0</v>
      </c>
      <c r="M3" s="58">
        <v>10.0</v>
      </c>
      <c r="N3" s="58">
        <v>5.0</v>
      </c>
      <c r="O3" s="58">
        <v>5.0</v>
      </c>
      <c r="P3" s="58">
        <v>10.0</v>
      </c>
      <c r="Q3" s="58">
        <v>10.0</v>
      </c>
      <c r="R3" s="58">
        <v>10.0</v>
      </c>
      <c r="S3" s="58">
        <v>5.0</v>
      </c>
      <c r="T3" s="58">
        <v>5.0</v>
      </c>
      <c r="U3" s="58">
        <v>5.0</v>
      </c>
      <c r="V3" s="58">
        <v>5.0</v>
      </c>
      <c r="W3" s="58">
        <v>10.0</v>
      </c>
    </row>
    <row r="4">
      <c r="A4" s="57">
        <v>3.0</v>
      </c>
      <c r="B4" s="58">
        <v>10.0</v>
      </c>
      <c r="C4" s="58">
        <v>15.0</v>
      </c>
      <c r="D4" s="58">
        <v>5.0</v>
      </c>
      <c r="E4" s="58">
        <v>5.0</v>
      </c>
      <c r="F4" s="58" t="s">
        <v>265</v>
      </c>
      <c r="G4" s="58">
        <v>5.0</v>
      </c>
      <c r="H4" s="58">
        <v>4.0</v>
      </c>
      <c r="I4" s="58">
        <v>15.0</v>
      </c>
      <c r="J4" s="58">
        <v>20.0</v>
      </c>
      <c r="K4" s="58">
        <v>4.0</v>
      </c>
      <c r="L4" s="58">
        <v>10.0</v>
      </c>
      <c r="M4" s="58">
        <v>15.0</v>
      </c>
      <c r="N4" s="58">
        <v>5.0</v>
      </c>
      <c r="O4" s="58">
        <v>5.0</v>
      </c>
      <c r="P4" s="58">
        <v>10.0</v>
      </c>
      <c r="Q4" s="58">
        <v>5.0</v>
      </c>
      <c r="R4" s="58">
        <v>10.0</v>
      </c>
      <c r="S4" s="58">
        <v>5.0</v>
      </c>
      <c r="T4" s="58">
        <v>5.0</v>
      </c>
      <c r="U4" s="58">
        <v>5.0</v>
      </c>
      <c r="V4" s="58">
        <v>5.0</v>
      </c>
      <c r="W4" s="58">
        <v>10.0</v>
      </c>
    </row>
    <row r="5">
      <c r="A5" s="60">
        <v>4.0</v>
      </c>
      <c r="B5" s="61">
        <v>15.0</v>
      </c>
      <c r="C5" s="61">
        <v>15.0</v>
      </c>
      <c r="D5" s="61">
        <v>5.0</v>
      </c>
      <c r="E5" s="61">
        <v>10.0</v>
      </c>
      <c r="F5" s="61" t="s">
        <v>265</v>
      </c>
      <c r="G5" s="61">
        <v>10.0</v>
      </c>
      <c r="H5" s="61">
        <v>5.0</v>
      </c>
      <c r="I5" s="61">
        <v>15.0</v>
      </c>
      <c r="J5" s="61">
        <v>10.0</v>
      </c>
      <c r="K5" s="61">
        <v>4.0</v>
      </c>
      <c r="L5" s="61">
        <v>10.0</v>
      </c>
      <c r="M5" s="61">
        <v>10.0</v>
      </c>
      <c r="N5" s="61">
        <v>15.0</v>
      </c>
      <c r="O5" s="61">
        <v>15.0</v>
      </c>
      <c r="P5" s="61">
        <v>5.0</v>
      </c>
      <c r="Q5" s="61">
        <v>5.0</v>
      </c>
      <c r="R5" s="61">
        <v>10.0</v>
      </c>
      <c r="S5" s="61">
        <v>5.0</v>
      </c>
      <c r="T5" s="61">
        <v>15.0</v>
      </c>
      <c r="U5" s="61">
        <v>5.0</v>
      </c>
      <c r="V5" s="61">
        <v>5.0</v>
      </c>
      <c r="W5" s="61">
        <v>10.0</v>
      </c>
    </row>
    <row r="6">
      <c r="A6" s="60">
        <v>5.0</v>
      </c>
      <c r="B6" s="61">
        <v>23.0</v>
      </c>
      <c r="C6" s="61">
        <v>10.0</v>
      </c>
      <c r="D6" s="61">
        <v>15.0</v>
      </c>
      <c r="E6" s="61">
        <v>15.0</v>
      </c>
      <c r="F6" s="61" t="s">
        <v>265</v>
      </c>
      <c r="G6" s="61">
        <v>15.0</v>
      </c>
      <c r="H6" s="61">
        <v>6.0</v>
      </c>
      <c r="I6" s="61">
        <v>15.0</v>
      </c>
      <c r="J6" s="61">
        <v>5.0</v>
      </c>
      <c r="K6" s="61">
        <v>4.0</v>
      </c>
      <c r="L6" s="61">
        <v>10.0</v>
      </c>
      <c r="M6" s="61">
        <v>15.0</v>
      </c>
      <c r="N6" s="61">
        <v>20.0</v>
      </c>
      <c r="O6" s="61">
        <v>20.0</v>
      </c>
      <c r="P6" s="61">
        <v>15.0</v>
      </c>
      <c r="Q6" s="61">
        <v>10.0</v>
      </c>
      <c r="R6" s="61">
        <v>10.0</v>
      </c>
      <c r="S6" s="61">
        <v>5.0</v>
      </c>
      <c r="T6" s="61">
        <v>15.0</v>
      </c>
      <c r="U6" s="61">
        <v>5.0</v>
      </c>
      <c r="V6" s="61">
        <v>5.0</v>
      </c>
      <c r="W6" s="61">
        <v>10.0</v>
      </c>
    </row>
    <row r="7">
      <c r="A7" s="60">
        <v>6.0</v>
      </c>
      <c r="B7" s="61">
        <v>15.0</v>
      </c>
      <c r="C7" s="61">
        <v>10.0</v>
      </c>
      <c r="D7" s="61">
        <v>15.0</v>
      </c>
      <c r="E7" s="61">
        <v>20.0</v>
      </c>
      <c r="F7" s="61" t="s">
        <v>265</v>
      </c>
      <c r="G7" s="61">
        <v>20.0</v>
      </c>
      <c r="H7" s="61">
        <v>35.0</v>
      </c>
      <c r="I7" s="61">
        <v>15.0</v>
      </c>
      <c r="J7" s="61">
        <v>5.0</v>
      </c>
      <c r="K7" s="61">
        <v>30.0</v>
      </c>
      <c r="L7" s="61">
        <v>10.0</v>
      </c>
      <c r="M7" s="61">
        <v>15.0</v>
      </c>
      <c r="N7" s="61">
        <v>20.0</v>
      </c>
      <c r="O7" s="61">
        <v>20.0</v>
      </c>
      <c r="P7" s="61">
        <v>15.0</v>
      </c>
      <c r="Q7" s="61">
        <v>20.0</v>
      </c>
      <c r="R7" s="61">
        <v>10.0</v>
      </c>
      <c r="S7" s="61">
        <v>25.0</v>
      </c>
      <c r="T7" s="61">
        <v>15.0</v>
      </c>
      <c r="U7" s="61">
        <v>5.0</v>
      </c>
      <c r="V7" s="61">
        <v>5.0</v>
      </c>
      <c r="W7" s="61">
        <v>10.0</v>
      </c>
    </row>
    <row r="8">
      <c r="A8" s="63">
        <v>7.0</v>
      </c>
      <c r="B8" s="64">
        <v>10.0</v>
      </c>
      <c r="C8" s="64">
        <v>10.0</v>
      </c>
      <c r="D8" s="64">
        <v>20.0</v>
      </c>
      <c r="E8" s="64">
        <v>20.0</v>
      </c>
      <c r="F8" s="64" t="s">
        <v>265</v>
      </c>
      <c r="G8" s="64">
        <v>20.0</v>
      </c>
      <c r="H8" s="64">
        <v>18.0</v>
      </c>
      <c r="I8" s="64">
        <v>5.0</v>
      </c>
      <c r="J8" s="64">
        <v>5.0</v>
      </c>
      <c r="K8" s="64">
        <v>15.0</v>
      </c>
      <c r="L8" s="64">
        <v>10.0</v>
      </c>
      <c r="M8" s="64">
        <v>10.0</v>
      </c>
      <c r="N8" s="64">
        <v>15.0</v>
      </c>
      <c r="O8" s="64">
        <v>15.0</v>
      </c>
      <c r="P8" s="64">
        <v>5.0</v>
      </c>
      <c r="Q8" s="64">
        <v>15.0</v>
      </c>
      <c r="R8" s="64">
        <v>10.0</v>
      </c>
      <c r="S8" s="64">
        <v>10.0</v>
      </c>
      <c r="T8" s="64">
        <v>15.0</v>
      </c>
      <c r="U8" s="64">
        <v>35.0</v>
      </c>
      <c r="V8" s="64">
        <v>20.0</v>
      </c>
      <c r="W8" s="64">
        <v>10.0</v>
      </c>
    </row>
    <row r="9">
      <c r="A9" s="63">
        <v>8.0</v>
      </c>
      <c r="B9" s="64">
        <v>5.0</v>
      </c>
      <c r="C9" s="64">
        <v>5.0</v>
      </c>
      <c r="D9" s="64">
        <v>10.0</v>
      </c>
      <c r="E9" s="64">
        <v>10.0</v>
      </c>
      <c r="F9" s="64" t="s">
        <v>265</v>
      </c>
      <c r="G9" s="64">
        <v>10.0</v>
      </c>
      <c r="H9" s="64">
        <v>12.0</v>
      </c>
      <c r="I9" s="64">
        <v>5.0</v>
      </c>
      <c r="J9" s="64">
        <v>5.0</v>
      </c>
      <c r="K9" s="64">
        <v>10.0</v>
      </c>
      <c r="L9" s="64">
        <v>10.0</v>
      </c>
      <c r="M9" s="64">
        <v>5.0</v>
      </c>
      <c r="N9" s="64">
        <v>5.0</v>
      </c>
      <c r="O9" s="64">
        <v>5.0</v>
      </c>
      <c r="P9" s="64">
        <v>10.0</v>
      </c>
      <c r="Q9" s="64">
        <v>5.0</v>
      </c>
      <c r="R9" s="64">
        <v>10.0</v>
      </c>
      <c r="S9" s="64">
        <v>5.0</v>
      </c>
      <c r="T9" s="64">
        <v>5.0</v>
      </c>
      <c r="U9" s="64">
        <v>5.0</v>
      </c>
      <c r="V9" s="64">
        <v>10.0</v>
      </c>
      <c r="W9" s="64">
        <v>10.0</v>
      </c>
    </row>
    <row r="10">
      <c r="A10" s="63">
        <v>9.0</v>
      </c>
      <c r="B10" s="64">
        <v>5.0</v>
      </c>
      <c r="C10" s="64">
        <v>3.0</v>
      </c>
      <c r="D10" s="64">
        <v>10.0</v>
      </c>
      <c r="E10" s="64">
        <v>5.0</v>
      </c>
      <c r="F10" s="64" t="s">
        <v>265</v>
      </c>
      <c r="G10" s="64">
        <v>5.0</v>
      </c>
      <c r="H10" s="64">
        <v>8.0</v>
      </c>
      <c r="I10" s="64">
        <v>5.0</v>
      </c>
      <c r="J10" s="64">
        <v>5.0</v>
      </c>
      <c r="K10" s="64">
        <v>5.0</v>
      </c>
      <c r="L10" s="64">
        <v>10.0</v>
      </c>
      <c r="M10" s="64">
        <v>5.0</v>
      </c>
      <c r="N10" s="64">
        <v>5.0</v>
      </c>
      <c r="O10" s="64">
        <v>5.0</v>
      </c>
      <c r="P10" s="64">
        <v>10.0</v>
      </c>
      <c r="Q10" s="64">
        <v>5.0</v>
      </c>
      <c r="R10" s="64">
        <v>10.0</v>
      </c>
      <c r="S10" s="64">
        <v>5.0</v>
      </c>
      <c r="T10" s="64">
        <v>5.0</v>
      </c>
      <c r="U10" s="64">
        <v>5.0</v>
      </c>
      <c r="V10" s="64">
        <v>5.0</v>
      </c>
      <c r="W10" s="64">
        <v>10.0</v>
      </c>
    </row>
    <row r="11">
      <c r="A11" s="66">
        <v>10.0</v>
      </c>
      <c r="B11" s="67">
        <v>2.0</v>
      </c>
      <c r="C11" s="67">
        <v>2.0</v>
      </c>
      <c r="D11" s="67">
        <v>5.0</v>
      </c>
      <c r="E11" s="67">
        <v>5.0</v>
      </c>
      <c r="F11" s="67" t="s">
        <v>265</v>
      </c>
      <c r="G11" s="67">
        <v>5.0</v>
      </c>
      <c r="H11" s="67">
        <v>7.0</v>
      </c>
      <c r="I11" s="67">
        <v>5.0</v>
      </c>
      <c r="J11" s="67">
        <v>5.0</v>
      </c>
      <c r="K11" s="67">
        <v>4.0</v>
      </c>
      <c r="L11" s="67">
        <v>10.0</v>
      </c>
      <c r="M11" s="67">
        <v>5.0</v>
      </c>
      <c r="N11" s="67">
        <v>5.0</v>
      </c>
      <c r="O11" s="67">
        <v>5.0</v>
      </c>
      <c r="P11" s="67">
        <v>5.0</v>
      </c>
      <c r="Q11" s="67">
        <v>5.0</v>
      </c>
      <c r="R11" s="67">
        <v>10.0</v>
      </c>
      <c r="S11" s="67">
        <v>15.0</v>
      </c>
      <c r="T11" s="67">
        <v>5.0</v>
      </c>
      <c r="U11" s="67">
        <v>10.0</v>
      </c>
      <c r="V11" s="67">
        <v>20.0</v>
      </c>
      <c r="W11" s="67">
        <v>10.0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15</v>
      </c>
      <c r="B1" s="53" t="s">
        <v>22</v>
      </c>
      <c r="C1" s="53" t="s">
        <v>25</v>
      </c>
      <c r="D1" s="53" t="s">
        <v>27</v>
      </c>
      <c r="E1" s="53" t="s">
        <v>29</v>
      </c>
      <c r="F1" s="53" t="s">
        <v>31</v>
      </c>
      <c r="G1" s="53" t="s">
        <v>34</v>
      </c>
      <c r="H1" s="53" t="s">
        <v>36</v>
      </c>
      <c r="I1" s="53" t="s">
        <v>38</v>
      </c>
      <c r="J1" s="53" t="s">
        <v>40</v>
      </c>
      <c r="K1" s="53" t="s">
        <v>42</v>
      </c>
      <c r="L1" s="53" t="s">
        <v>44</v>
      </c>
      <c r="M1" s="54" t="s">
        <v>266</v>
      </c>
      <c r="N1" s="53" t="s">
        <v>49</v>
      </c>
      <c r="O1" s="53" t="s">
        <v>51</v>
      </c>
      <c r="P1" s="53" t="s">
        <v>54</v>
      </c>
      <c r="Q1" s="53" t="s">
        <v>56</v>
      </c>
      <c r="R1" s="53" t="s">
        <v>60</v>
      </c>
      <c r="S1" s="53" t="s">
        <v>63</v>
      </c>
      <c r="T1" s="53" t="s">
        <v>66</v>
      </c>
      <c r="U1" s="53" t="s">
        <v>69</v>
      </c>
      <c r="V1" s="53" t="s">
        <v>71</v>
      </c>
      <c r="W1" s="54" t="s">
        <v>58</v>
      </c>
    </row>
    <row r="2">
      <c r="A2" s="57">
        <v>1.0</v>
      </c>
      <c r="B2" s="58">
        <v>5.0</v>
      </c>
      <c r="C2" s="58">
        <v>15.0</v>
      </c>
      <c r="D2" s="58">
        <v>10.0</v>
      </c>
      <c r="E2" s="58">
        <v>5.0</v>
      </c>
      <c r="F2" s="58" t="s">
        <v>265</v>
      </c>
      <c r="G2" s="58">
        <v>5.0</v>
      </c>
      <c r="H2" s="58">
        <v>2.0</v>
      </c>
      <c r="I2" s="58">
        <v>10.0</v>
      </c>
      <c r="J2" s="58">
        <v>20.0</v>
      </c>
      <c r="K2" s="58">
        <v>20.0</v>
      </c>
      <c r="L2" s="58">
        <v>10.0</v>
      </c>
      <c r="M2" s="58">
        <v>10.0</v>
      </c>
      <c r="N2" s="74">
        <v>15.0</v>
      </c>
      <c r="O2" s="58">
        <v>5.0</v>
      </c>
      <c r="P2" s="58">
        <v>15.0</v>
      </c>
      <c r="Q2" s="58">
        <v>20.0</v>
      </c>
      <c r="R2" s="58">
        <v>10.0</v>
      </c>
      <c r="S2" s="58">
        <v>20.0</v>
      </c>
      <c r="T2" s="58">
        <v>15.0</v>
      </c>
      <c r="U2" s="58">
        <v>20.0</v>
      </c>
      <c r="V2" s="58">
        <v>20.0</v>
      </c>
      <c r="W2" s="58">
        <v>10.0</v>
      </c>
    </row>
    <row r="3">
      <c r="A3" s="57">
        <v>2.0</v>
      </c>
      <c r="B3" s="58">
        <v>10.0</v>
      </c>
      <c r="C3" s="58">
        <v>15.0</v>
      </c>
      <c r="D3" s="58">
        <v>5.0</v>
      </c>
      <c r="E3" s="58">
        <v>5.0</v>
      </c>
      <c r="F3" s="58" t="s">
        <v>265</v>
      </c>
      <c r="G3" s="58">
        <v>5.0</v>
      </c>
      <c r="H3" s="74">
        <v>5.0</v>
      </c>
      <c r="I3" s="58">
        <v>10.0</v>
      </c>
      <c r="J3" s="58">
        <v>20.0</v>
      </c>
      <c r="K3" s="74">
        <v>5.0</v>
      </c>
      <c r="L3" s="58">
        <v>10.0</v>
      </c>
      <c r="M3" s="58">
        <v>10.0</v>
      </c>
      <c r="N3" s="74">
        <v>15.0</v>
      </c>
      <c r="O3" s="58">
        <v>5.0</v>
      </c>
      <c r="P3" s="58">
        <v>10.0</v>
      </c>
      <c r="Q3" s="58">
        <v>10.0</v>
      </c>
      <c r="R3" s="58">
        <v>10.0</v>
      </c>
      <c r="S3" s="58">
        <v>5.0</v>
      </c>
      <c r="T3" s="58">
        <v>5.0</v>
      </c>
      <c r="U3" s="58">
        <v>5.0</v>
      </c>
      <c r="V3" s="58">
        <v>5.0</v>
      </c>
      <c r="W3" s="58">
        <v>10.0</v>
      </c>
    </row>
    <row r="4">
      <c r="A4" s="57">
        <v>3.0</v>
      </c>
      <c r="B4" s="58">
        <v>10.0</v>
      </c>
      <c r="C4" s="58">
        <v>15.0</v>
      </c>
      <c r="D4" s="58">
        <v>5.0</v>
      </c>
      <c r="E4" s="58">
        <v>5.0</v>
      </c>
      <c r="F4" s="58" t="s">
        <v>265</v>
      </c>
      <c r="G4" s="58">
        <v>5.0</v>
      </c>
      <c r="H4" s="74">
        <v>5.0</v>
      </c>
      <c r="I4" s="58">
        <v>15.0</v>
      </c>
      <c r="J4" s="58">
        <v>20.0</v>
      </c>
      <c r="K4" s="74">
        <v>5.0</v>
      </c>
      <c r="L4" s="58">
        <v>10.0</v>
      </c>
      <c r="M4" s="74">
        <v>10.0</v>
      </c>
      <c r="N4" s="74">
        <v>15.0</v>
      </c>
      <c r="O4" s="58">
        <v>5.0</v>
      </c>
      <c r="P4" s="58">
        <v>10.0</v>
      </c>
      <c r="Q4" s="58">
        <v>5.0</v>
      </c>
      <c r="R4" s="58">
        <v>10.0</v>
      </c>
      <c r="S4" s="58">
        <v>5.0</v>
      </c>
      <c r="T4" s="58">
        <v>5.0</v>
      </c>
      <c r="U4" s="58">
        <v>5.0</v>
      </c>
      <c r="V4" s="58">
        <v>5.0</v>
      </c>
      <c r="W4" s="58">
        <v>10.0</v>
      </c>
    </row>
    <row r="5">
      <c r="A5" s="60">
        <v>4.0</v>
      </c>
      <c r="B5" s="61">
        <v>15.0</v>
      </c>
      <c r="C5" s="61">
        <v>15.0</v>
      </c>
      <c r="D5" s="61">
        <v>5.0</v>
      </c>
      <c r="E5" s="75">
        <v>8.0</v>
      </c>
      <c r="F5" s="61" t="s">
        <v>265</v>
      </c>
      <c r="G5" s="75">
        <v>15.0</v>
      </c>
      <c r="H5" s="75">
        <v>10.0</v>
      </c>
      <c r="I5" s="61">
        <v>15.0</v>
      </c>
      <c r="J5" s="61">
        <v>10.0</v>
      </c>
      <c r="K5" s="75">
        <v>5.0</v>
      </c>
      <c r="L5" s="61">
        <v>10.0</v>
      </c>
      <c r="M5" s="75">
        <v>12.0</v>
      </c>
      <c r="N5" s="61">
        <v>15.0</v>
      </c>
      <c r="O5" s="61">
        <v>15.0</v>
      </c>
      <c r="P5" s="61">
        <v>5.0</v>
      </c>
      <c r="Q5" s="61">
        <v>5.0</v>
      </c>
      <c r="R5" s="61">
        <v>10.0</v>
      </c>
      <c r="S5" s="61">
        <v>5.0</v>
      </c>
      <c r="T5" s="61">
        <v>15.0</v>
      </c>
      <c r="U5" s="61">
        <v>5.0</v>
      </c>
      <c r="V5" s="61">
        <v>5.0</v>
      </c>
      <c r="W5" s="61">
        <v>10.0</v>
      </c>
    </row>
    <row r="6">
      <c r="A6" s="60">
        <v>5.0</v>
      </c>
      <c r="B6" s="61">
        <v>23.0</v>
      </c>
      <c r="C6" s="61">
        <v>10.0</v>
      </c>
      <c r="D6" s="61">
        <v>15.0</v>
      </c>
      <c r="E6" s="61">
        <v>15.0</v>
      </c>
      <c r="F6" s="61" t="s">
        <v>265</v>
      </c>
      <c r="G6" s="61">
        <v>15.0</v>
      </c>
      <c r="H6" s="75">
        <v>10.0</v>
      </c>
      <c r="I6" s="61">
        <v>15.0</v>
      </c>
      <c r="J6" s="61">
        <v>5.0</v>
      </c>
      <c r="K6" s="75">
        <v>5.0</v>
      </c>
      <c r="L6" s="61">
        <v>10.0</v>
      </c>
      <c r="M6" s="75">
        <v>12.0</v>
      </c>
      <c r="N6" s="75">
        <v>10.0</v>
      </c>
      <c r="O6" s="61">
        <v>20.0</v>
      </c>
      <c r="P6" s="61">
        <v>15.0</v>
      </c>
      <c r="Q6" s="61">
        <v>10.0</v>
      </c>
      <c r="R6" s="61">
        <v>10.0</v>
      </c>
      <c r="S6" s="61">
        <v>5.0</v>
      </c>
      <c r="T6" s="61">
        <v>15.0</v>
      </c>
      <c r="U6" s="61">
        <v>5.0</v>
      </c>
      <c r="V6" s="61">
        <v>5.0</v>
      </c>
      <c r="W6" s="61">
        <v>10.0</v>
      </c>
    </row>
    <row r="7">
      <c r="A7" s="60">
        <v>6.0</v>
      </c>
      <c r="B7" s="61">
        <v>15.0</v>
      </c>
      <c r="C7" s="61">
        <v>10.0</v>
      </c>
      <c r="D7" s="61">
        <v>15.0</v>
      </c>
      <c r="E7" s="61">
        <v>20.0</v>
      </c>
      <c r="F7" s="61" t="s">
        <v>265</v>
      </c>
      <c r="G7" s="61">
        <v>20.0</v>
      </c>
      <c r="H7" s="75">
        <v>20.0</v>
      </c>
      <c r="I7" s="61">
        <v>15.0</v>
      </c>
      <c r="J7" s="61">
        <v>5.0</v>
      </c>
      <c r="K7" s="75">
        <v>36.0</v>
      </c>
      <c r="L7" s="61">
        <v>10.0</v>
      </c>
      <c r="M7" s="75">
        <v>12.0</v>
      </c>
      <c r="N7" s="75">
        <v>10.0</v>
      </c>
      <c r="O7" s="61">
        <v>20.0</v>
      </c>
      <c r="P7" s="61">
        <v>15.0</v>
      </c>
      <c r="Q7" s="61">
        <v>20.0</v>
      </c>
      <c r="R7" s="61">
        <v>10.0</v>
      </c>
      <c r="S7" s="61">
        <v>25.0</v>
      </c>
      <c r="T7" s="61">
        <v>15.0</v>
      </c>
      <c r="U7" s="61">
        <v>5.0</v>
      </c>
      <c r="V7" s="61">
        <v>5.0</v>
      </c>
      <c r="W7" s="61">
        <v>10.0</v>
      </c>
    </row>
    <row r="8">
      <c r="A8" s="63">
        <v>7.0</v>
      </c>
      <c r="B8" s="64">
        <v>10.0</v>
      </c>
      <c r="C8" s="64">
        <v>10.0</v>
      </c>
      <c r="D8" s="64">
        <v>20.0</v>
      </c>
      <c r="E8" s="64">
        <v>20.0</v>
      </c>
      <c r="F8" s="64" t="s">
        <v>265</v>
      </c>
      <c r="G8" s="64">
        <v>20.0</v>
      </c>
      <c r="H8" s="64">
        <v>18.0</v>
      </c>
      <c r="I8" s="64">
        <v>5.0</v>
      </c>
      <c r="J8" s="64">
        <v>5.0</v>
      </c>
      <c r="K8" s="64">
        <v>15.0</v>
      </c>
      <c r="L8" s="64">
        <v>10.0</v>
      </c>
      <c r="M8" s="76">
        <v>12.0</v>
      </c>
      <c r="N8" s="76">
        <v>5.0</v>
      </c>
      <c r="O8" s="64">
        <v>15.0</v>
      </c>
      <c r="P8" s="64">
        <v>5.0</v>
      </c>
      <c r="Q8" s="64">
        <v>15.0</v>
      </c>
      <c r="R8" s="64">
        <v>10.0</v>
      </c>
      <c r="S8" s="64">
        <v>10.0</v>
      </c>
      <c r="T8" s="64">
        <v>15.0</v>
      </c>
      <c r="U8" s="64">
        <v>35.0</v>
      </c>
      <c r="V8" s="64">
        <v>20.0</v>
      </c>
      <c r="W8" s="64">
        <v>10.0</v>
      </c>
    </row>
    <row r="9">
      <c r="A9" s="63">
        <v>8.0</v>
      </c>
      <c r="B9" s="64">
        <v>5.0</v>
      </c>
      <c r="C9" s="64">
        <v>5.0</v>
      </c>
      <c r="D9" s="64">
        <v>10.0</v>
      </c>
      <c r="E9" s="76">
        <v>12.0</v>
      </c>
      <c r="F9" s="64" t="s">
        <v>265</v>
      </c>
      <c r="G9" s="76">
        <v>5.0</v>
      </c>
      <c r="H9" s="64">
        <v>12.0</v>
      </c>
      <c r="I9" s="64">
        <v>5.0</v>
      </c>
      <c r="J9" s="64">
        <v>5.0</v>
      </c>
      <c r="K9" s="64">
        <v>10.0</v>
      </c>
      <c r="L9" s="64">
        <v>10.0</v>
      </c>
      <c r="M9" s="76">
        <v>12.0</v>
      </c>
      <c r="N9" s="64">
        <v>5.0</v>
      </c>
      <c r="O9" s="64">
        <v>5.0</v>
      </c>
      <c r="P9" s="64">
        <v>10.0</v>
      </c>
      <c r="Q9" s="64">
        <v>5.0</v>
      </c>
      <c r="R9" s="64">
        <v>10.0</v>
      </c>
      <c r="S9" s="64">
        <v>5.0</v>
      </c>
      <c r="T9" s="64">
        <v>5.0</v>
      </c>
      <c r="U9" s="64">
        <v>5.0</v>
      </c>
      <c r="V9" s="64">
        <v>10.0</v>
      </c>
      <c r="W9" s="64">
        <v>10.0</v>
      </c>
    </row>
    <row r="10">
      <c r="A10" s="63">
        <v>9.0</v>
      </c>
      <c r="B10" s="64">
        <v>5.0</v>
      </c>
      <c r="C10" s="64">
        <v>3.0</v>
      </c>
      <c r="D10" s="64">
        <v>10.0</v>
      </c>
      <c r="E10" s="64">
        <v>5.0</v>
      </c>
      <c r="F10" s="64" t="s">
        <v>265</v>
      </c>
      <c r="G10" s="64">
        <v>5.0</v>
      </c>
      <c r="H10" s="64">
        <v>8.0</v>
      </c>
      <c r="I10" s="64">
        <v>5.0</v>
      </c>
      <c r="J10" s="64">
        <v>5.0</v>
      </c>
      <c r="K10" s="64">
        <v>5.0</v>
      </c>
      <c r="L10" s="64">
        <v>10.0</v>
      </c>
      <c r="M10" s="64">
        <v>5.0</v>
      </c>
      <c r="N10" s="64">
        <v>5.0</v>
      </c>
      <c r="O10" s="64">
        <v>5.0</v>
      </c>
      <c r="P10" s="64">
        <v>10.0</v>
      </c>
      <c r="Q10" s="64">
        <v>5.0</v>
      </c>
      <c r="R10" s="64">
        <v>10.0</v>
      </c>
      <c r="S10" s="64">
        <v>5.0</v>
      </c>
      <c r="T10" s="64">
        <v>5.0</v>
      </c>
      <c r="U10" s="64">
        <v>5.0</v>
      </c>
      <c r="V10" s="64">
        <v>5.0</v>
      </c>
      <c r="W10" s="64">
        <v>10.0</v>
      </c>
    </row>
    <row r="11">
      <c r="A11" s="66">
        <v>10.0</v>
      </c>
      <c r="B11" s="67">
        <v>2.0</v>
      </c>
      <c r="C11" s="67">
        <v>2.0</v>
      </c>
      <c r="D11" s="67">
        <v>5.0</v>
      </c>
      <c r="E11" s="67">
        <v>5.0</v>
      </c>
      <c r="F11" s="67" t="s">
        <v>265</v>
      </c>
      <c r="G11" s="67">
        <v>5.0</v>
      </c>
      <c r="H11" s="67">
        <v>7.0</v>
      </c>
      <c r="I11" s="67">
        <v>5.0</v>
      </c>
      <c r="J11" s="67">
        <v>5.0</v>
      </c>
      <c r="K11" s="67">
        <v>4.0</v>
      </c>
      <c r="L11" s="67">
        <v>10.0</v>
      </c>
      <c r="M11" s="67">
        <v>5.0</v>
      </c>
      <c r="N11" s="67">
        <v>5.0</v>
      </c>
      <c r="O11" s="67">
        <v>5.0</v>
      </c>
      <c r="P11" s="67">
        <v>5.0</v>
      </c>
      <c r="Q11" s="67">
        <v>5.0</v>
      </c>
      <c r="R11" s="67">
        <v>10.0</v>
      </c>
      <c r="S11" s="67">
        <v>15.0</v>
      </c>
      <c r="T11" s="67">
        <v>5.0</v>
      </c>
      <c r="U11" s="67">
        <v>10.0</v>
      </c>
      <c r="V11" s="67">
        <v>20.0</v>
      </c>
      <c r="W11" s="67">
        <v>10.0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9.38"/>
    <col customWidth="1" min="3" max="3" width="54.5"/>
    <col customWidth="1" min="4" max="4" width="40.5"/>
    <col customWidth="1" min="5" max="5" width="18.88"/>
    <col customWidth="1" min="6" max="6" width="9.5"/>
    <col customWidth="1" min="7" max="7" width="61.25"/>
    <col customWidth="1" min="8" max="8" width="24.13"/>
    <col customWidth="1" min="9" max="9" width="17.75"/>
    <col customWidth="1" min="10" max="10" width="11.75"/>
    <col customWidth="1" min="11" max="11" width="46.0"/>
    <col customWidth="1" min="14" max="14" width="10.13"/>
    <col customWidth="1" min="15" max="15" width="65.63"/>
  </cols>
  <sheetData>
    <row r="1">
      <c r="A1" s="77"/>
      <c r="D1" s="78"/>
      <c r="E1" s="77"/>
      <c r="H1" s="78"/>
      <c r="I1" s="79"/>
      <c r="L1" s="79"/>
      <c r="M1" s="79"/>
      <c r="P1" s="78"/>
      <c r="Q1" s="78"/>
      <c r="R1" s="78"/>
      <c r="S1" s="78"/>
      <c r="T1" s="78"/>
      <c r="U1" s="78"/>
      <c r="V1" s="78"/>
      <c r="W1" s="78"/>
      <c r="X1" s="78"/>
      <c r="Y1" s="78"/>
    </row>
    <row r="2">
      <c r="E2" s="79"/>
      <c r="F2" s="80"/>
      <c r="G2" s="80"/>
      <c r="I2" s="79"/>
      <c r="J2" s="80"/>
      <c r="K2" s="80"/>
      <c r="L2" s="78"/>
      <c r="M2" s="81"/>
      <c r="N2" s="82"/>
      <c r="O2" s="82"/>
      <c r="P2" s="83"/>
      <c r="Q2" s="78"/>
      <c r="R2" s="78"/>
      <c r="S2" s="78"/>
      <c r="T2" s="78"/>
      <c r="U2" s="78"/>
      <c r="V2" s="78"/>
      <c r="W2" s="78"/>
      <c r="X2" s="78"/>
      <c r="Y2" s="78"/>
    </row>
    <row r="3">
      <c r="E3" s="79"/>
      <c r="F3" s="79"/>
      <c r="G3" s="79"/>
      <c r="I3" s="79"/>
      <c r="J3" s="79"/>
      <c r="K3" s="79"/>
      <c r="L3" s="78"/>
      <c r="M3" s="79"/>
      <c r="N3" s="79"/>
      <c r="O3" s="79"/>
      <c r="P3" s="84"/>
      <c r="Q3" s="78"/>
      <c r="R3" s="78"/>
      <c r="S3" s="78"/>
      <c r="T3" s="78"/>
      <c r="U3" s="78"/>
      <c r="V3" s="78"/>
      <c r="W3" s="78"/>
      <c r="X3" s="78"/>
      <c r="Y3" s="78"/>
    </row>
    <row r="4">
      <c r="E4" s="79"/>
      <c r="F4" s="80"/>
      <c r="G4" s="80"/>
      <c r="I4" s="79"/>
      <c r="J4" s="80"/>
      <c r="K4" s="80"/>
      <c r="L4" s="78"/>
      <c r="M4" s="81"/>
      <c r="N4" s="82"/>
      <c r="O4" s="82"/>
      <c r="P4" s="83"/>
      <c r="Q4" s="78"/>
      <c r="R4" s="78"/>
      <c r="S4" s="78"/>
      <c r="T4" s="78"/>
      <c r="U4" s="78"/>
      <c r="V4" s="78"/>
      <c r="W4" s="78"/>
      <c r="X4" s="78"/>
      <c r="Y4" s="78"/>
    </row>
    <row r="5">
      <c r="E5" s="79"/>
      <c r="F5" s="80"/>
      <c r="G5" s="80"/>
      <c r="I5" s="79"/>
      <c r="J5" s="80"/>
      <c r="K5" s="80"/>
      <c r="L5" s="78"/>
      <c r="M5" s="85"/>
      <c r="N5" s="86"/>
      <c r="O5" s="86"/>
      <c r="P5" s="87"/>
      <c r="Q5" s="78"/>
      <c r="R5" s="78"/>
      <c r="S5" s="78"/>
      <c r="T5" s="78"/>
      <c r="U5" s="78"/>
      <c r="V5" s="78"/>
      <c r="W5" s="78"/>
      <c r="X5" s="78"/>
      <c r="Y5" s="78"/>
    </row>
    <row r="6">
      <c r="E6" s="79"/>
      <c r="F6" s="80"/>
      <c r="G6" s="80"/>
      <c r="I6" s="79"/>
      <c r="J6" s="80"/>
      <c r="K6" s="80"/>
      <c r="L6" s="78"/>
      <c r="M6" s="79"/>
      <c r="N6" s="80"/>
      <c r="O6" s="80"/>
      <c r="P6" s="88"/>
      <c r="Q6" s="78"/>
      <c r="R6" s="78"/>
      <c r="S6" s="78"/>
      <c r="T6" s="78"/>
      <c r="U6" s="78"/>
      <c r="V6" s="78"/>
      <c r="W6" s="78"/>
      <c r="X6" s="78"/>
      <c r="Y6" s="78"/>
    </row>
    <row r="7">
      <c r="E7" s="79"/>
      <c r="F7" s="80"/>
      <c r="G7" s="80"/>
      <c r="I7" s="79"/>
      <c r="J7" s="80"/>
      <c r="K7" s="80"/>
      <c r="L7" s="78"/>
      <c r="M7" s="85"/>
      <c r="N7" s="86"/>
      <c r="O7" s="86"/>
      <c r="P7" s="87"/>
      <c r="Q7" s="78"/>
      <c r="R7" s="78"/>
      <c r="S7" s="78"/>
      <c r="T7" s="78"/>
      <c r="U7" s="78"/>
      <c r="V7" s="78"/>
      <c r="W7" s="78"/>
      <c r="X7" s="78"/>
      <c r="Y7" s="78"/>
    </row>
    <row r="8">
      <c r="F8" s="80"/>
      <c r="G8" s="80"/>
      <c r="I8" s="79"/>
      <c r="J8" s="89"/>
      <c r="K8" s="89"/>
      <c r="L8" s="78"/>
      <c r="M8" s="79"/>
      <c r="N8" s="80"/>
      <c r="O8" s="80"/>
      <c r="P8" s="88"/>
      <c r="Q8" s="78"/>
      <c r="R8" s="78"/>
      <c r="S8" s="78"/>
      <c r="T8" s="78"/>
      <c r="U8" s="78"/>
      <c r="V8" s="78"/>
      <c r="W8" s="78"/>
      <c r="X8" s="78"/>
      <c r="Y8" s="78"/>
    </row>
    <row r="9">
      <c r="E9" s="79"/>
      <c r="F9" s="80"/>
      <c r="G9" s="80"/>
      <c r="L9" s="78"/>
      <c r="M9" s="78"/>
      <c r="N9" s="78"/>
      <c r="O9" s="78"/>
      <c r="P9" s="78"/>
      <c r="Q9" s="78"/>
      <c r="R9" s="78"/>
      <c r="S9" s="78"/>
      <c r="T9" s="78"/>
      <c r="U9" s="78"/>
      <c r="V9" s="78"/>
      <c r="W9" s="78"/>
      <c r="X9" s="78"/>
      <c r="Y9" s="78"/>
    </row>
    <row r="10">
      <c r="E10" s="79"/>
      <c r="F10" s="80"/>
      <c r="G10" s="80"/>
      <c r="L10" s="78"/>
      <c r="M10" s="79"/>
      <c r="P10" s="78"/>
      <c r="Q10" s="78"/>
      <c r="R10" s="78"/>
      <c r="S10" s="78"/>
      <c r="T10" s="78"/>
      <c r="U10" s="78"/>
      <c r="V10" s="78"/>
      <c r="W10" s="78"/>
      <c r="X10" s="78"/>
      <c r="Y10" s="78"/>
    </row>
    <row r="11">
      <c r="E11" s="79"/>
      <c r="F11" s="80"/>
      <c r="G11" s="80"/>
      <c r="L11" s="78"/>
      <c r="M11" s="33"/>
      <c r="N11" s="33"/>
      <c r="O11" s="33"/>
      <c r="Q11" s="78"/>
      <c r="R11" s="78"/>
      <c r="S11" s="78"/>
      <c r="T11" s="78"/>
      <c r="U11" s="78"/>
      <c r="V11" s="78"/>
      <c r="W11" s="78"/>
      <c r="X11" s="78"/>
      <c r="Y11" s="78"/>
    </row>
    <row r="12">
      <c r="E12" s="79"/>
      <c r="F12" s="80"/>
      <c r="G12" s="80"/>
      <c r="L12" s="78"/>
      <c r="M12" s="33"/>
      <c r="N12" s="41"/>
      <c r="O12" s="41"/>
      <c r="Q12" s="78"/>
      <c r="R12" s="78"/>
      <c r="S12" s="78"/>
      <c r="T12" s="78"/>
      <c r="U12" s="78"/>
      <c r="V12" s="78"/>
      <c r="W12" s="78"/>
      <c r="X12" s="78"/>
      <c r="Y12" s="78"/>
    </row>
    <row r="13">
      <c r="D13" s="78"/>
      <c r="E13" s="78"/>
      <c r="F13" s="78"/>
      <c r="G13" s="78"/>
      <c r="H13" s="78"/>
      <c r="I13" s="78"/>
      <c r="J13" s="78"/>
      <c r="K13" s="78"/>
      <c r="L13" s="78"/>
      <c r="M13" s="33"/>
      <c r="N13" s="41"/>
      <c r="O13" s="41"/>
      <c r="Q13" s="78"/>
      <c r="R13" s="78"/>
      <c r="S13" s="78"/>
      <c r="T13" s="78"/>
      <c r="U13" s="78"/>
      <c r="V13" s="78"/>
      <c r="W13" s="78"/>
      <c r="X13" s="78"/>
      <c r="Y13" s="78"/>
    </row>
    <row r="14">
      <c r="A14" s="78"/>
      <c r="B14" s="78"/>
      <c r="C14" s="78"/>
      <c r="D14" s="78"/>
      <c r="E14" s="78"/>
      <c r="F14" s="78"/>
      <c r="G14" s="78"/>
      <c r="H14" s="78"/>
      <c r="I14" s="78"/>
      <c r="J14" s="78"/>
      <c r="K14" s="78"/>
      <c r="L14" s="78"/>
      <c r="M14" s="33"/>
      <c r="N14" s="41"/>
      <c r="O14" s="41"/>
      <c r="Q14" s="78"/>
      <c r="R14" s="78"/>
      <c r="S14" s="78"/>
      <c r="T14" s="78"/>
      <c r="U14" s="78"/>
      <c r="V14" s="78"/>
      <c r="W14" s="78"/>
      <c r="X14" s="78"/>
      <c r="Y14" s="78"/>
    </row>
    <row r="15">
      <c r="A15" s="90" t="s">
        <v>269</v>
      </c>
      <c r="B15" s="91"/>
      <c r="C15" s="92"/>
      <c r="D15" s="78"/>
      <c r="E15" s="93"/>
      <c r="H15" s="78"/>
      <c r="I15" s="93"/>
      <c r="L15" s="78"/>
      <c r="M15" s="33"/>
      <c r="N15" s="41"/>
      <c r="O15" s="41"/>
      <c r="Q15" s="78"/>
      <c r="R15" s="78"/>
      <c r="S15" s="78"/>
      <c r="T15" s="78"/>
      <c r="U15" s="78"/>
      <c r="V15" s="78"/>
      <c r="W15" s="78"/>
      <c r="X15" s="78"/>
      <c r="Y15" s="78"/>
    </row>
    <row r="16">
      <c r="A16" s="94" t="s">
        <v>270</v>
      </c>
      <c r="B16" s="92"/>
      <c r="C16" s="33" t="s">
        <v>16</v>
      </c>
      <c r="D16" s="78"/>
      <c r="E16" s="79"/>
      <c r="F16" s="79"/>
      <c r="G16" s="79"/>
      <c r="I16" s="79"/>
      <c r="J16" s="79"/>
      <c r="K16" s="79"/>
      <c r="L16" s="78"/>
      <c r="M16" s="33"/>
      <c r="N16" s="41"/>
      <c r="O16" s="41"/>
      <c r="Q16" s="78"/>
      <c r="R16" s="78"/>
      <c r="S16" s="78"/>
      <c r="T16" s="78"/>
      <c r="U16" s="78"/>
      <c r="V16" s="78"/>
      <c r="W16" s="78"/>
      <c r="X16" s="78"/>
      <c r="Y16" s="78"/>
    </row>
    <row r="17">
      <c r="A17" s="94" t="s">
        <v>271</v>
      </c>
      <c r="B17" s="92"/>
      <c r="C17" s="41">
        <v>9.0</v>
      </c>
      <c r="D17" s="78"/>
      <c r="E17" s="79"/>
      <c r="F17" s="80"/>
      <c r="G17" s="80"/>
      <c r="I17" s="79"/>
      <c r="J17" s="80"/>
      <c r="K17" s="80"/>
      <c r="L17" s="78"/>
      <c r="M17" s="33"/>
      <c r="N17" s="41"/>
      <c r="O17" s="41"/>
      <c r="Q17" s="78"/>
      <c r="R17" s="78"/>
      <c r="S17" s="78"/>
      <c r="T17" s="78"/>
      <c r="U17" s="78"/>
      <c r="V17" s="78"/>
      <c r="W17" s="78"/>
      <c r="X17" s="78"/>
      <c r="Y17" s="78"/>
    </row>
    <row r="18">
      <c r="A18" s="94" t="s">
        <v>272</v>
      </c>
      <c r="B18" s="92"/>
      <c r="C18" s="41">
        <v>15.0</v>
      </c>
      <c r="D18" s="78"/>
      <c r="E18" s="79"/>
      <c r="F18" s="80"/>
      <c r="G18" s="80"/>
      <c r="I18" s="79"/>
      <c r="J18" s="80"/>
      <c r="K18" s="80"/>
      <c r="L18" s="78"/>
      <c r="M18" s="78"/>
      <c r="N18" s="78"/>
      <c r="O18" s="78"/>
      <c r="P18" s="78"/>
      <c r="Q18" s="78"/>
      <c r="R18" s="78"/>
      <c r="S18" s="78"/>
      <c r="T18" s="78"/>
      <c r="U18" s="78"/>
      <c r="V18" s="78"/>
      <c r="W18" s="78"/>
      <c r="X18" s="78"/>
      <c r="Y18" s="78"/>
    </row>
    <row r="19">
      <c r="A19" s="94" t="s">
        <v>273</v>
      </c>
      <c r="B19" s="92"/>
      <c r="C19" s="41">
        <v>18.0</v>
      </c>
      <c r="D19" s="78"/>
      <c r="E19" s="79"/>
      <c r="F19" s="80"/>
      <c r="G19" s="80"/>
      <c r="I19" s="79"/>
      <c r="J19" s="80"/>
      <c r="K19" s="80"/>
      <c r="L19" s="78"/>
      <c r="M19" s="78"/>
      <c r="N19" s="78"/>
      <c r="O19" s="78"/>
      <c r="P19" s="78"/>
      <c r="Q19" s="78"/>
      <c r="R19" s="78"/>
      <c r="S19" s="78"/>
      <c r="T19" s="78"/>
      <c r="U19" s="78"/>
      <c r="V19" s="78"/>
      <c r="W19" s="78"/>
      <c r="X19" s="78"/>
      <c r="Y19" s="78"/>
    </row>
    <row r="20">
      <c r="A20" s="94" t="s">
        <v>274</v>
      </c>
      <c r="B20" s="92"/>
      <c r="C20" s="41">
        <v>24.0</v>
      </c>
      <c r="D20" s="78"/>
      <c r="E20" s="79"/>
      <c r="F20" s="80"/>
      <c r="G20" s="80"/>
      <c r="I20" s="79"/>
      <c r="J20" s="80"/>
      <c r="K20" s="80"/>
      <c r="L20" s="78"/>
      <c r="M20" s="79"/>
      <c r="P20" s="78"/>
      <c r="Q20" s="78"/>
      <c r="R20" s="78"/>
      <c r="S20" s="78"/>
      <c r="T20" s="78"/>
      <c r="U20" s="78"/>
      <c r="V20" s="78"/>
      <c r="W20" s="78"/>
      <c r="X20" s="78"/>
      <c r="Y20" s="78"/>
    </row>
    <row r="21" ht="33.0" customHeight="1">
      <c r="A21" s="94" t="s">
        <v>275</v>
      </c>
      <c r="B21" s="92"/>
      <c r="C21" s="41">
        <v>25.0</v>
      </c>
      <c r="D21" s="78"/>
      <c r="E21" s="79"/>
      <c r="F21" s="80"/>
      <c r="G21" s="95"/>
      <c r="I21" s="79"/>
      <c r="J21" s="80"/>
      <c r="K21" s="95"/>
      <c r="L21" s="78"/>
      <c r="M21" s="94"/>
      <c r="N21" s="92"/>
      <c r="O21" s="33"/>
      <c r="P21" s="78"/>
      <c r="Q21" s="78"/>
      <c r="R21" s="78"/>
      <c r="S21" s="78"/>
      <c r="T21" s="78"/>
      <c r="U21" s="78"/>
      <c r="V21" s="78"/>
      <c r="W21" s="78"/>
      <c r="X21" s="78"/>
      <c r="Y21" s="78"/>
    </row>
    <row r="22">
      <c r="A22" s="94" t="s">
        <v>276</v>
      </c>
      <c r="B22" s="92"/>
      <c r="C22" s="41">
        <v>9.0</v>
      </c>
      <c r="D22" s="78"/>
      <c r="E22" s="79"/>
      <c r="F22" s="80"/>
      <c r="G22" s="95"/>
      <c r="L22" s="78"/>
      <c r="M22" s="94"/>
      <c r="N22" s="92"/>
      <c r="O22" s="41"/>
      <c r="P22" s="78"/>
      <c r="Q22" s="78"/>
      <c r="R22" s="78"/>
      <c r="S22" s="78"/>
      <c r="T22" s="78"/>
      <c r="U22" s="78"/>
      <c r="V22" s="78"/>
      <c r="W22" s="78"/>
      <c r="X22" s="78"/>
      <c r="Y22" s="78"/>
    </row>
    <row r="23" ht="33.0" customHeight="1">
      <c r="A23" s="78"/>
      <c r="B23" s="78"/>
      <c r="C23" s="78"/>
      <c r="D23" s="78"/>
      <c r="E23" s="78"/>
      <c r="F23" s="78"/>
      <c r="G23" s="89"/>
      <c r="L23" s="78"/>
      <c r="M23" s="94"/>
      <c r="N23" s="92"/>
      <c r="O23" s="41"/>
      <c r="P23" s="78"/>
      <c r="Q23" s="78"/>
      <c r="R23" s="78"/>
      <c r="S23" s="78"/>
      <c r="T23" s="78"/>
      <c r="U23" s="78"/>
      <c r="V23" s="78"/>
      <c r="W23" s="78"/>
      <c r="X23" s="78"/>
      <c r="Y23" s="78"/>
    </row>
    <row r="24" ht="66.0" customHeight="1">
      <c r="A24" s="96"/>
      <c r="E24" s="93"/>
      <c r="H24" s="97"/>
      <c r="L24" s="78"/>
      <c r="M24" s="94"/>
      <c r="N24" s="92"/>
      <c r="O24" s="41"/>
      <c r="P24" s="78"/>
      <c r="Q24" s="78"/>
      <c r="R24" s="78"/>
      <c r="S24" s="78"/>
      <c r="T24" s="78"/>
      <c r="U24" s="78"/>
      <c r="V24" s="78"/>
      <c r="W24" s="78"/>
      <c r="X24" s="78"/>
      <c r="Y24" s="78"/>
    </row>
    <row r="25">
      <c r="E25" s="79"/>
      <c r="F25" s="79"/>
      <c r="G25" s="79"/>
      <c r="L25" s="78"/>
      <c r="M25" s="78"/>
      <c r="N25" s="78"/>
      <c r="O25" s="78"/>
      <c r="P25" s="78"/>
      <c r="Q25" s="78"/>
      <c r="R25" s="78"/>
      <c r="S25" s="78"/>
      <c r="T25" s="78"/>
      <c r="U25" s="78"/>
      <c r="V25" s="78"/>
      <c r="W25" s="78"/>
      <c r="X25" s="78"/>
      <c r="Y25" s="78"/>
    </row>
    <row r="26">
      <c r="E26" s="98"/>
      <c r="F26" s="80"/>
      <c r="G26" s="80"/>
      <c r="I26" s="78"/>
      <c r="J26" s="78"/>
      <c r="K26" s="78"/>
      <c r="L26" s="78"/>
      <c r="M26" s="78"/>
      <c r="N26" s="78"/>
      <c r="O26" s="78"/>
      <c r="P26" s="78"/>
      <c r="Q26" s="78"/>
      <c r="R26" s="78"/>
      <c r="S26" s="78"/>
      <c r="T26" s="78"/>
      <c r="U26" s="78"/>
      <c r="V26" s="78"/>
      <c r="W26" s="78"/>
      <c r="X26" s="78"/>
      <c r="Y26" s="78"/>
    </row>
    <row r="27">
      <c r="E27" s="98"/>
      <c r="F27" s="80"/>
      <c r="G27" s="80"/>
      <c r="I27" s="99"/>
      <c r="L27" s="78"/>
      <c r="M27" s="79"/>
      <c r="P27" s="78"/>
      <c r="Q27" s="78"/>
      <c r="R27" s="78"/>
      <c r="S27" s="78"/>
      <c r="T27" s="78"/>
      <c r="U27" s="78"/>
      <c r="V27" s="78"/>
      <c r="W27" s="78"/>
      <c r="X27" s="78"/>
      <c r="Y27" s="78"/>
    </row>
    <row r="28">
      <c r="E28" s="98"/>
      <c r="F28" s="80"/>
      <c r="G28" s="80"/>
      <c r="I28" s="79"/>
      <c r="J28" s="79"/>
      <c r="K28" s="79"/>
      <c r="L28" s="78"/>
      <c r="M28" s="33"/>
      <c r="N28" s="33"/>
      <c r="O28" s="33"/>
      <c r="P28" s="100"/>
      <c r="Q28" s="100"/>
      <c r="S28" s="78"/>
      <c r="T28" s="78"/>
      <c r="U28" s="78"/>
      <c r="V28" s="78"/>
      <c r="W28" s="78"/>
      <c r="X28" s="78"/>
      <c r="Y28" s="78"/>
    </row>
    <row r="29">
      <c r="E29" s="98"/>
      <c r="F29" s="80"/>
      <c r="G29" s="80"/>
      <c r="I29" s="101"/>
      <c r="J29" s="102"/>
      <c r="K29" s="103"/>
      <c r="L29" s="78"/>
      <c r="M29" s="33"/>
      <c r="N29" s="41"/>
      <c r="O29" s="41"/>
      <c r="P29" s="100"/>
      <c r="Q29" s="104"/>
      <c r="S29" s="78"/>
      <c r="T29" s="78"/>
      <c r="U29" s="78"/>
      <c r="V29" s="78"/>
      <c r="W29" s="78"/>
      <c r="X29" s="78"/>
      <c r="Y29" s="78"/>
    </row>
    <row r="30">
      <c r="D30" s="78"/>
      <c r="E30" s="98"/>
      <c r="F30" s="80"/>
      <c r="G30" s="95"/>
      <c r="I30" s="101"/>
      <c r="J30" s="102"/>
      <c r="K30" s="105"/>
      <c r="L30" s="78"/>
      <c r="M30" s="33"/>
      <c r="N30" s="41"/>
      <c r="O30" s="41"/>
      <c r="P30" s="106"/>
      <c r="Q30" s="106"/>
      <c r="S30" s="78"/>
      <c r="T30" s="78"/>
      <c r="U30" s="78"/>
      <c r="V30" s="78"/>
      <c r="W30" s="78"/>
      <c r="X30" s="78"/>
      <c r="Y30" s="78"/>
    </row>
    <row r="31">
      <c r="D31" s="78"/>
      <c r="E31" s="98"/>
      <c r="F31" s="80"/>
      <c r="G31" s="95"/>
      <c r="I31" s="101"/>
      <c r="J31" s="102"/>
      <c r="K31" s="105"/>
      <c r="L31" s="78"/>
      <c r="M31" s="33"/>
      <c r="N31" s="41"/>
      <c r="O31" s="33"/>
      <c r="P31" s="100"/>
      <c r="Q31" s="106"/>
      <c r="S31" s="78"/>
      <c r="T31" s="78"/>
      <c r="U31" s="78"/>
      <c r="V31" s="78"/>
      <c r="W31" s="78"/>
      <c r="X31" s="78"/>
      <c r="Y31" s="78"/>
    </row>
    <row r="32">
      <c r="D32" s="78"/>
      <c r="E32" s="78"/>
      <c r="F32" s="78"/>
      <c r="G32" s="78"/>
      <c r="I32" s="101"/>
      <c r="J32" s="102"/>
      <c r="K32" s="105"/>
      <c r="L32" s="78"/>
      <c r="M32" s="33"/>
      <c r="N32" s="41"/>
      <c r="O32" s="41"/>
      <c r="P32" s="106"/>
      <c r="Q32" s="106"/>
      <c r="S32" s="78"/>
      <c r="T32" s="78"/>
      <c r="U32" s="78"/>
      <c r="V32" s="78"/>
      <c r="W32" s="78"/>
      <c r="X32" s="78"/>
      <c r="Y32" s="78"/>
    </row>
    <row r="33">
      <c r="D33" s="78"/>
      <c r="E33" s="98"/>
      <c r="I33" s="101"/>
      <c r="J33" s="102"/>
      <c r="K33" s="105"/>
      <c r="L33" s="78"/>
      <c r="M33" s="33"/>
      <c r="N33" s="41"/>
      <c r="O33" s="107"/>
      <c r="P33" s="100"/>
      <c r="Q33" s="100"/>
      <c r="S33" s="78"/>
      <c r="T33" s="78"/>
      <c r="U33" s="78"/>
      <c r="V33" s="78"/>
      <c r="W33" s="78"/>
      <c r="X33" s="78"/>
      <c r="Y33" s="78"/>
    </row>
    <row r="34">
      <c r="D34" s="78"/>
      <c r="E34" s="79"/>
      <c r="G34" s="79"/>
      <c r="I34" s="101"/>
      <c r="J34" s="102"/>
      <c r="K34" s="105"/>
      <c r="L34" s="78"/>
      <c r="M34" s="33"/>
      <c r="N34" s="41"/>
      <c r="O34" s="41"/>
      <c r="P34" s="106"/>
      <c r="Q34" s="106"/>
      <c r="S34" s="78"/>
      <c r="T34" s="78"/>
      <c r="U34" s="78"/>
      <c r="V34" s="78"/>
      <c r="W34" s="78"/>
      <c r="X34" s="78"/>
      <c r="Y34" s="78"/>
    </row>
    <row r="35">
      <c r="D35" s="78"/>
      <c r="E35" s="108"/>
      <c r="G35" s="80"/>
      <c r="I35" s="101"/>
      <c r="J35" s="102"/>
      <c r="K35" s="105"/>
      <c r="L35" s="78"/>
      <c r="M35" s="33"/>
      <c r="N35" s="41"/>
      <c r="O35" s="41"/>
      <c r="P35" s="106"/>
      <c r="Q35" s="106"/>
      <c r="S35" s="78"/>
      <c r="T35" s="78"/>
      <c r="U35" s="78"/>
      <c r="V35" s="78"/>
      <c r="W35" s="78"/>
      <c r="X35" s="78"/>
      <c r="Y35" s="78"/>
    </row>
    <row r="36">
      <c r="D36" s="78"/>
      <c r="E36" s="108"/>
      <c r="G36" s="80"/>
      <c r="I36" s="101"/>
      <c r="J36" s="102"/>
      <c r="K36" s="109"/>
      <c r="L36" s="78"/>
      <c r="M36" s="33"/>
      <c r="N36" s="41"/>
      <c r="O36" s="41"/>
      <c r="P36" s="106"/>
      <c r="Q36" s="106"/>
      <c r="S36" s="78"/>
      <c r="T36" s="78"/>
      <c r="U36" s="78"/>
      <c r="V36" s="78"/>
      <c r="W36" s="78"/>
      <c r="X36" s="78"/>
      <c r="Y36" s="78"/>
    </row>
    <row r="37">
      <c r="D37" s="78"/>
      <c r="E37" s="78"/>
      <c r="F37" s="78"/>
      <c r="G37" s="78"/>
      <c r="I37" s="101"/>
      <c r="J37" s="102"/>
      <c r="K37" s="103"/>
      <c r="L37" s="78"/>
      <c r="M37" s="78"/>
      <c r="N37" s="78"/>
      <c r="O37" s="78"/>
      <c r="P37" s="78"/>
      <c r="Q37" s="78"/>
      <c r="R37" s="78"/>
      <c r="S37" s="78"/>
      <c r="T37" s="78"/>
      <c r="U37" s="78"/>
      <c r="V37" s="78"/>
      <c r="W37" s="78"/>
      <c r="X37" s="78"/>
      <c r="Y37" s="78"/>
    </row>
    <row r="38">
      <c r="D38" s="78"/>
      <c r="E38" s="93"/>
      <c r="I38" s="110"/>
      <c r="J38" s="102"/>
      <c r="K38" s="105"/>
      <c r="L38" s="78"/>
      <c r="M38" s="78"/>
      <c r="N38" s="78"/>
      <c r="O38" s="78"/>
      <c r="P38" s="78"/>
      <c r="Q38" s="78"/>
      <c r="R38" s="78"/>
      <c r="S38" s="78"/>
      <c r="T38" s="78"/>
      <c r="U38" s="78"/>
      <c r="V38" s="78"/>
      <c r="W38" s="78"/>
      <c r="X38" s="78"/>
      <c r="Y38" s="78"/>
    </row>
    <row r="39">
      <c r="A39" s="78"/>
      <c r="B39" s="78"/>
      <c r="C39" s="78"/>
      <c r="D39" s="78"/>
      <c r="E39" s="79"/>
      <c r="F39" s="79"/>
      <c r="G39" s="79"/>
      <c r="I39" s="110"/>
      <c r="J39" s="102"/>
      <c r="K39" s="105"/>
      <c r="L39" s="78"/>
      <c r="M39" s="78"/>
      <c r="N39" s="78"/>
      <c r="O39" s="78"/>
      <c r="P39" s="78"/>
      <c r="Q39" s="78"/>
      <c r="R39" s="78"/>
      <c r="S39" s="78"/>
      <c r="T39" s="78"/>
      <c r="U39" s="78"/>
      <c r="V39" s="78"/>
      <c r="W39" s="78"/>
      <c r="X39" s="78"/>
      <c r="Y39" s="78"/>
    </row>
    <row r="40">
      <c r="A40" s="78"/>
      <c r="B40" s="78"/>
      <c r="C40" s="78"/>
      <c r="D40" s="78"/>
      <c r="E40" s="111"/>
      <c r="F40" s="80"/>
      <c r="G40" s="80"/>
      <c r="I40" s="110"/>
      <c r="J40" s="102"/>
      <c r="K40" s="105"/>
      <c r="L40" s="78"/>
      <c r="M40" s="78"/>
      <c r="N40" s="78"/>
      <c r="O40" s="78"/>
      <c r="P40" s="78"/>
      <c r="Q40" s="78"/>
      <c r="R40" s="78"/>
      <c r="S40" s="78"/>
      <c r="T40" s="78"/>
      <c r="U40" s="78"/>
      <c r="V40" s="78"/>
      <c r="W40" s="78"/>
      <c r="X40" s="78"/>
      <c r="Y40" s="78"/>
    </row>
    <row r="41">
      <c r="A41" s="78"/>
      <c r="B41" s="78"/>
      <c r="C41" s="78"/>
      <c r="D41" s="78"/>
      <c r="E41" s="111"/>
      <c r="F41" s="80"/>
      <c r="G41" s="80"/>
      <c r="I41" s="78"/>
      <c r="J41" s="78"/>
      <c r="K41" s="78"/>
      <c r="L41" s="78"/>
      <c r="M41" s="78"/>
      <c r="N41" s="78"/>
      <c r="O41" s="78"/>
      <c r="P41" s="78"/>
      <c r="Q41" s="78"/>
      <c r="R41" s="78"/>
      <c r="S41" s="78"/>
      <c r="T41" s="78"/>
      <c r="U41" s="78"/>
      <c r="V41" s="78"/>
      <c r="W41" s="78"/>
      <c r="X41" s="78"/>
      <c r="Y41" s="78"/>
    </row>
    <row r="42">
      <c r="A42" s="78"/>
      <c r="B42" s="78"/>
      <c r="C42" s="78"/>
      <c r="D42" s="78"/>
      <c r="E42" s="111"/>
      <c r="F42" s="80"/>
      <c r="G42" s="80"/>
      <c r="I42" s="78"/>
      <c r="J42" s="78"/>
      <c r="K42" s="78"/>
      <c r="L42" s="78"/>
      <c r="M42" s="78"/>
      <c r="N42" s="78"/>
      <c r="O42" s="78"/>
      <c r="P42" s="78"/>
      <c r="Q42" s="78"/>
      <c r="R42" s="78"/>
      <c r="S42" s="78"/>
      <c r="T42" s="78"/>
      <c r="U42" s="78"/>
      <c r="V42" s="78"/>
      <c r="W42" s="78"/>
      <c r="X42" s="78"/>
      <c r="Y42" s="78"/>
    </row>
    <row r="43">
      <c r="A43" s="78"/>
      <c r="B43" s="78"/>
      <c r="C43" s="78"/>
      <c r="D43" s="78"/>
      <c r="E43" s="111"/>
      <c r="F43" s="80"/>
      <c r="G43" s="80"/>
      <c r="I43" s="78"/>
      <c r="J43" s="78"/>
      <c r="K43" s="78"/>
      <c r="L43" s="78"/>
      <c r="M43" s="78"/>
      <c r="N43" s="78"/>
      <c r="O43" s="78"/>
      <c r="P43" s="78"/>
      <c r="Q43" s="78"/>
      <c r="R43" s="78"/>
      <c r="S43" s="78"/>
      <c r="T43" s="78"/>
      <c r="U43" s="78"/>
      <c r="V43" s="78"/>
      <c r="W43" s="78"/>
      <c r="X43" s="78"/>
      <c r="Y43" s="78"/>
    </row>
    <row r="44">
      <c r="A44" s="78"/>
      <c r="B44" s="78"/>
      <c r="C44" s="78"/>
      <c r="D44" s="78"/>
      <c r="E44" s="111"/>
      <c r="F44" s="80"/>
      <c r="G44" s="95"/>
      <c r="I44" s="78"/>
      <c r="J44" s="78"/>
      <c r="K44" s="78"/>
      <c r="L44" s="78"/>
      <c r="M44" s="78"/>
      <c r="N44" s="78"/>
      <c r="O44" s="78"/>
      <c r="P44" s="78"/>
      <c r="Q44" s="78"/>
      <c r="R44" s="78"/>
      <c r="S44" s="78"/>
      <c r="T44" s="78"/>
      <c r="U44" s="78"/>
      <c r="V44" s="78"/>
      <c r="W44" s="78"/>
      <c r="X44" s="78"/>
      <c r="Y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row>
    <row r="52">
      <c r="A52" s="79"/>
      <c r="B52" s="79"/>
      <c r="C52" s="78"/>
      <c r="D52" s="78"/>
      <c r="E52" s="78"/>
      <c r="F52" s="78"/>
      <c r="G52" s="78"/>
      <c r="H52" s="78"/>
      <c r="I52" s="78"/>
      <c r="J52" s="78"/>
      <c r="K52" s="78"/>
      <c r="L52" s="78"/>
      <c r="M52" s="78"/>
      <c r="N52" s="78"/>
      <c r="O52" s="78"/>
      <c r="P52" s="78"/>
      <c r="Q52" s="78"/>
      <c r="R52" s="78"/>
      <c r="S52" s="78"/>
      <c r="T52" s="78"/>
      <c r="U52" s="78"/>
      <c r="V52" s="78"/>
      <c r="W52" s="78"/>
      <c r="X52" s="78"/>
      <c r="Y52" s="78"/>
    </row>
    <row r="53">
      <c r="A53" s="79"/>
      <c r="B53" s="79"/>
      <c r="C53" s="78"/>
      <c r="D53" s="78"/>
      <c r="E53" s="78"/>
      <c r="F53" s="78"/>
      <c r="G53" s="78"/>
      <c r="H53" s="78"/>
      <c r="I53" s="78"/>
      <c r="J53" s="78"/>
      <c r="K53" s="78"/>
      <c r="L53" s="78"/>
      <c r="M53" s="78"/>
      <c r="N53" s="78"/>
      <c r="O53" s="78"/>
      <c r="P53" s="78"/>
      <c r="Q53" s="78"/>
      <c r="R53" s="78"/>
      <c r="S53" s="78"/>
      <c r="T53" s="78"/>
      <c r="U53" s="78"/>
      <c r="V53" s="78"/>
      <c r="W53" s="78"/>
      <c r="X53" s="78"/>
      <c r="Y53" s="78"/>
    </row>
    <row r="54">
      <c r="A54" s="79"/>
      <c r="B54" s="79"/>
      <c r="C54" s="78"/>
      <c r="D54" s="78"/>
      <c r="E54" s="78"/>
      <c r="F54" s="78"/>
      <c r="G54" s="78"/>
      <c r="H54" s="78"/>
      <c r="I54" s="78"/>
      <c r="J54" s="78"/>
      <c r="K54" s="78"/>
      <c r="L54" s="78"/>
      <c r="M54" s="78"/>
      <c r="N54" s="78"/>
      <c r="O54" s="78"/>
      <c r="P54" s="78"/>
      <c r="Q54" s="78"/>
      <c r="R54" s="78"/>
      <c r="S54" s="78"/>
      <c r="T54" s="78"/>
      <c r="U54" s="78"/>
      <c r="V54" s="78"/>
      <c r="W54" s="78"/>
      <c r="X54" s="78"/>
      <c r="Y54" s="78"/>
    </row>
    <row r="55">
      <c r="A55" s="79"/>
      <c r="B55" s="79"/>
      <c r="C55" s="78"/>
      <c r="D55" s="78"/>
      <c r="E55" s="78"/>
      <c r="F55" s="78"/>
      <c r="G55" s="78"/>
      <c r="H55" s="78"/>
      <c r="I55" s="78"/>
      <c r="J55" s="78"/>
      <c r="K55" s="78"/>
      <c r="L55" s="78"/>
      <c r="M55" s="78"/>
      <c r="N55" s="78"/>
      <c r="O55" s="78"/>
      <c r="P55" s="78"/>
      <c r="Q55" s="78"/>
      <c r="R55" s="78"/>
      <c r="S55" s="78"/>
      <c r="T55" s="78"/>
      <c r="U55" s="78"/>
      <c r="V55" s="78"/>
      <c r="W55" s="78"/>
      <c r="X55" s="78"/>
      <c r="Y55" s="78"/>
    </row>
    <row r="56">
      <c r="A56" s="79"/>
      <c r="B56" s="79"/>
      <c r="C56" s="78"/>
      <c r="D56" s="78"/>
      <c r="E56" s="78"/>
      <c r="F56" s="78"/>
      <c r="G56" s="78"/>
      <c r="H56" s="78"/>
      <c r="I56" s="78"/>
      <c r="J56" s="78"/>
      <c r="K56" s="78"/>
      <c r="L56" s="78"/>
      <c r="M56" s="78"/>
      <c r="N56" s="78"/>
      <c r="O56" s="78"/>
      <c r="P56" s="78"/>
      <c r="Q56" s="78"/>
      <c r="R56" s="78"/>
      <c r="S56" s="78"/>
      <c r="T56" s="78"/>
      <c r="U56" s="78"/>
      <c r="V56" s="78"/>
      <c r="W56" s="78"/>
      <c r="X56" s="78"/>
      <c r="Y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row>
    <row r="58">
      <c r="A58" s="79"/>
      <c r="B58" s="79"/>
      <c r="C58" s="78"/>
      <c r="D58" s="78"/>
      <c r="E58" s="78"/>
      <c r="F58" s="78"/>
      <c r="G58" s="78"/>
      <c r="H58" s="78"/>
      <c r="I58" s="78"/>
      <c r="J58" s="78"/>
      <c r="K58" s="78"/>
      <c r="L58" s="78"/>
      <c r="M58" s="78"/>
      <c r="N58" s="78"/>
      <c r="O58" s="78"/>
      <c r="P58" s="78"/>
      <c r="Q58" s="78"/>
      <c r="R58" s="78"/>
      <c r="S58" s="78"/>
      <c r="T58" s="78"/>
      <c r="U58" s="78"/>
      <c r="V58" s="78"/>
      <c r="W58" s="78"/>
      <c r="X58" s="78"/>
      <c r="Y58" s="78"/>
    </row>
    <row r="59">
      <c r="A59" s="79"/>
      <c r="C59" s="78"/>
      <c r="D59" s="78"/>
      <c r="E59" s="78"/>
      <c r="F59" s="78"/>
      <c r="G59" s="78"/>
      <c r="H59" s="78"/>
      <c r="I59" s="78"/>
      <c r="J59" s="78"/>
      <c r="K59" s="78"/>
      <c r="L59" s="78"/>
      <c r="M59" s="78"/>
      <c r="N59" s="78"/>
      <c r="O59" s="78"/>
      <c r="P59" s="78"/>
      <c r="Q59" s="78"/>
      <c r="R59" s="78"/>
      <c r="S59" s="78"/>
      <c r="T59" s="78"/>
      <c r="U59" s="78"/>
      <c r="V59" s="78"/>
      <c r="W59" s="78"/>
      <c r="X59" s="78"/>
      <c r="Y59" s="78"/>
    </row>
    <row r="60">
      <c r="A60" s="79"/>
      <c r="B60" s="79"/>
      <c r="C60" s="78"/>
      <c r="D60" s="78"/>
      <c r="E60" s="78"/>
      <c r="F60" s="78"/>
      <c r="G60" s="78"/>
      <c r="H60" s="78"/>
      <c r="I60" s="78"/>
      <c r="J60" s="78"/>
      <c r="K60" s="78"/>
      <c r="L60" s="78"/>
      <c r="M60" s="78"/>
      <c r="N60" s="78"/>
      <c r="O60" s="78"/>
      <c r="P60" s="78"/>
      <c r="Q60" s="78"/>
      <c r="R60" s="78"/>
      <c r="S60" s="78"/>
      <c r="T60" s="78"/>
      <c r="U60" s="78"/>
      <c r="V60" s="78"/>
      <c r="W60" s="78"/>
      <c r="X60" s="78"/>
      <c r="Y60" s="78"/>
    </row>
    <row r="61">
      <c r="A61" s="79"/>
      <c r="B61" s="79"/>
      <c r="C61" s="78"/>
      <c r="D61" s="78"/>
      <c r="E61" s="78"/>
      <c r="F61" s="78"/>
      <c r="G61" s="78"/>
      <c r="H61" s="78"/>
      <c r="I61" s="78"/>
      <c r="J61" s="78"/>
      <c r="K61" s="78"/>
      <c r="L61" s="78"/>
      <c r="M61" s="78"/>
      <c r="N61" s="78"/>
      <c r="O61" s="78"/>
      <c r="P61" s="78"/>
      <c r="Q61" s="78"/>
      <c r="R61" s="78"/>
      <c r="S61" s="78"/>
      <c r="T61" s="78"/>
      <c r="U61" s="78"/>
      <c r="V61" s="78"/>
      <c r="W61" s="78"/>
      <c r="X61" s="78"/>
      <c r="Y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row>
    <row r="1001">
      <c r="A1001" s="78"/>
      <c r="B1001" s="78"/>
      <c r="C1001" s="78"/>
      <c r="D1001" s="78"/>
      <c r="E1001" s="78"/>
      <c r="F1001" s="78"/>
      <c r="G1001" s="78"/>
      <c r="H1001" s="78"/>
      <c r="I1001" s="78"/>
      <c r="J1001" s="78"/>
      <c r="K1001" s="78"/>
      <c r="L1001" s="78"/>
      <c r="M1001" s="78"/>
      <c r="N1001" s="78"/>
      <c r="O1001" s="78"/>
      <c r="R1001" s="78"/>
      <c r="S1001" s="78"/>
      <c r="T1001" s="78"/>
      <c r="U1001" s="78"/>
      <c r="V1001" s="78"/>
      <c r="W1001" s="78"/>
      <c r="X1001" s="78"/>
      <c r="Y1001" s="78"/>
    </row>
  </sheetData>
  <mergeCells count="32">
    <mergeCell ref="A1:C1"/>
    <mergeCell ref="E1:G1"/>
    <mergeCell ref="I1:K1"/>
    <mergeCell ref="M1:O1"/>
    <mergeCell ref="M10:O10"/>
    <mergeCell ref="E15:G15"/>
    <mergeCell ref="I15:K15"/>
    <mergeCell ref="A22:B22"/>
    <mergeCell ref="A24:D24"/>
    <mergeCell ref="E24:G24"/>
    <mergeCell ref="E33:G33"/>
    <mergeCell ref="E34:F34"/>
    <mergeCell ref="E35:F35"/>
    <mergeCell ref="E36:F36"/>
    <mergeCell ref="E38:G38"/>
    <mergeCell ref="A15:C15"/>
    <mergeCell ref="A16:B16"/>
    <mergeCell ref="A17:B17"/>
    <mergeCell ref="A18:B18"/>
    <mergeCell ref="A19:B19"/>
    <mergeCell ref="A20:B20"/>
    <mergeCell ref="A21:B21"/>
    <mergeCell ref="K21:K25"/>
    <mergeCell ref="I27:K27"/>
    <mergeCell ref="M20:O20"/>
    <mergeCell ref="I21:I25"/>
    <mergeCell ref="J21:J25"/>
    <mergeCell ref="M21:N21"/>
    <mergeCell ref="M22:N22"/>
    <mergeCell ref="M23:N23"/>
    <mergeCell ref="M24:N24"/>
    <mergeCell ref="M27:O27"/>
  </mergeCells>
  <dataValidations>
    <dataValidation type="list" allowBlank="1" showErrorMessage="1" sqref="Q29:Q36">
      <formula1>#REF!</formula1>
    </dataValidation>
    <dataValidation type="list" allowBlank="1" showErrorMessage="1" sqref="P29:P36">
      <formula1>"Yes,No"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0"/>
    <col customWidth="1" min="2" max="2" width="13.63"/>
    <col customWidth="1" min="3" max="3" width="39.5"/>
  </cols>
  <sheetData>
    <row r="1" ht="21.0" customHeight="1">
      <c r="A1" s="112" t="s">
        <v>277</v>
      </c>
      <c r="B1" s="113" t="s">
        <v>16</v>
      </c>
      <c r="C1" s="114"/>
      <c r="D1" s="115"/>
    </row>
    <row r="2" ht="21.0" customHeight="1">
      <c r="A2" s="116" t="s">
        <v>278</v>
      </c>
      <c r="B2" s="117">
        <v>20.0</v>
      </c>
      <c r="C2" s="118"/>
      <c r="D2" s="118"/>
    </row>
    <row r="3" ht="21.0" customHeight="1">
      <c r="A3" s="116" t="s">
        <v>279</v>
      </c>
      <c r="B3" s="117">
        <v>35.0</v>
      </c>
      <c r="C3" s="118"/>
      <c r="D3" s="118"/>
    </row>
    <row r="4" ht="21.0" customHeight="1">
      <c r="A4" s="116" t="s">
        <v>280</v>
      </c>
      <c r="B4" s="117">
        <v>30.0</v>
      </c>
      <c r="C4" s="119"/>
    </row>
    <row r="5" ht="21.0" customHeight="1">
      <c r="A5" s="116" t="s">
        <v>281</v>
      </c>
      <c r="B5" s="117">
        <v>15.0</v>
      </c>
      <c r="C5" s="119"/>
    </row>
    <row r="6" ht="21.0" customHeight="1">
      <c r="A6" s="120"/>
      <c r="B6" s="121"/>
      <c r="C6" s="119"/>
    </row>
    <row r="7" ht="21.0" customHeight="1">
      <c r="A7" s="122" t="s">
        <v>282</v>
      </c>
      <c r="B7" s="5"/>
    </row>
    <row r="8" ht="21.0" customHeight="1">
      <c r="A8" s="6"/>
      <c r="B8" s="7"/>
    </row>
    <row r="9" ht="21.0" customHeight="1">
      <c r="A9" s="8"/>
      <c r="B9" s="9"/>
    </row>
    <row r="10" ht="21.0" customHeight="1">
      <c r="A10" s="123"/>
      <c r="B10" s="124"/>
    </row>
    <row r="11" ht="21.0" customHeight="1">
      <c r="A11" s="123"/>
      <c r="B11" s="124"/>
    </row>
    <row r="12" ht="21.0" customHeight="1">
      <c r="A12" s="123"/>
      <c r="B12" s="124"/>
    </row>
    <row r="13" ht="21.0" customHeight="1">
      <c r="A13" s="123"/>
      <c r="B13" s="124"/>
    </row>
    <row r="14" ht="21.0" customHeight="1">
      <c r="A14" s="123"/>
      <c r="B14" s="124"/>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row>
    <row r="15" ht="21.0" customHeight="1">
      <c r="A15" s="123"/>
      <c r="B15" s="124"/>
    </row>
    <row r="16" ht="21.0" customHeight="1">
      <c r="A16" s="123"/>
      <c r="B16" s="124"/>
    </row>
    <row r="17" ht="21.0" customHeight="1">
      <c r="A17" s="123"/>
      <c r="B17" s="124"/>
    </row>
    <row r="18" ht="21.0" customHeight="1">
      <c r="A18" s="123"/>
      <c r="B18" s="124"/>
    </row>
    <row r="19" ht="21.0" customHeight="1">
      <c r="A19" s="123"/>
      <c r="B19" s="124"/>
    </row>
    <row r="20" ht="21.0" customHeight="1">
      <c r="A20" s="123"/>
      <c r="B20" s="124"/>
    </row>
    <row r="21" ht="21.0" customHeight="1">
      <c r="A21" s="123"/>
      <c r="B21" s="124"/>
    </row>
    <row r="22" ht="21.0" customHeight="1">
      <c r="A22" s="123"/>
      <c r="B22" s="124"/>
    </row>
    <row r="23" ht="21.0" customHeight="1">
      <c r="A23" s="123"/>
      <c r="B23" s="124"/>
    </row>
    <row r="24" ht="21.0" customHeight="1">
      <c r="A24" s="123"/>
      <c r="B24" s="124"/>
    </row>
    <row r="25" ht="21.0" customHeight="1">
      <c r="A25" s="123"/>
      <c r="B25" s="124"/>
    </row>
    <row r="26">
      <c r="A26" s="123"/>
      <c r="B26" s="124"/>
    </row>
    <row r="27">
      <c r="A27" s="123"/>
      <c r="B27" s="124"/>
    </row>
    <row r="28">
      <c r="A28" s="123"/>
      <c r="B28" s="124"/>
    </row>
    <row r="29">
      <c r="A29" s="123"/>
      <c r="B29" s="124"/>
    </row>
    <row r="30">
      <c r="A30" s="123"/>
      <c r="B30" s="124"/>
    </row>
    <row r="31">
      <c r="A31" s="123"/>
      <c r="B31" s="124"/>
    </row>
    <row r="32">
      <c r="A32" s="123"/>
      <c r="B32" s="124"/>
    </row>
    <row r="33">
      <c r="A33" s="123"/>
      <c r="B33" s="124"/>
    </row>
    <row r="34">
      <c r="A34" s="123"/>
      <c r="B34" s="124"/>
    </row>
    <row r="35">
      <c r="A35" s="123"/>
      <c r="B35" s="124"/>
    </row>
    <row r="36">
      <c r="A36" s="123"/>
      <c r="B36" s="124"/>
    </row>
    <row r="37">
      <c r="A37" s="123"/>
      <c r="B37" s="124"/>
    </row>
    <row r="38">
      <c r="A38" s="123"/>
      <c r="B38" s="124"/>
    </row>
    <row r="39">
      <c r="A39" s="123"/>
      <c r="B39" s="124"/>
    </row>
    <row r="40">
      <c r="A40" s="123"/>
      <c r="B40" s="124"/>
    </row>
    <row r="41">
      <c r="A41" s="123"/>
      <c r="B41" s="124"/>
    </row>
    <row r="42">
      <c r="A42" s="123"/>
      <c r="B42" s="124"/>
    </row>
    <row r="43">
      <c r="A43" s="123"/>
      <c r="B43" s="124"/>
    </row>
    <row r="44">
      <c r="A44" s="123"/>
      <c r="B44" s="124"/>
    </row>
    <row r="45">
      <c r="A45" s="123"/>
      <c r="B45" s="124"/>
    </row>
    <row r="46">
      <c r="A46" s="123"/>
      <c r="B46" s="124"/>
    </row>
    <row r="47">
      <c r="A47" s="123"/>
      <c r="B47" s="124"/>
    </row>
    <row r="48">
      <c r="A48" s="123"/>
      <c r="B48" s="124"/>
    </row>
    <row r="49">
      <c r="A49" s="123"/>
      <c r="B49" s="124"/>
    </row>
    <row r="50">
      <c r="A50" s="123"/>
      <c r="B50" s="124"/>
    </row>
    <row r="51">
      <c r="A51" s="123"/>
      <c r="B51" s="124"/>
    </row>
    <row r="52">
      <c r="A52" s="123"/>
      <c r="B52" s="124"/>
    </row>
    <row r="53">
      <c r="A53" s="123"/>
      <c r="B53" s="124"/>
    </row>
    <row r="54">
      <c r="A54" s="123"/>
      <c r="B54" s="124"/>
    </row>
    <row r="55">
      <c r="A55" s="123"/>
      <c r="B55" s="124"/>
    </row>
    <row r="56">
      <c r="A56" s="123"/>
      <c r="B56" s="124"/>
    </row>
    <row r="57">
      <c r="A57" s="123"/>
      <c r="B57" s="124"/>
    </row>
    <row r="58">
      <c r="A58" s="123"/>
      <c r="B58" s="124"/>
    </row>
    <row r="59">
      <c r="A59" s="123"/>
      <c r="B59" s="124"/>
    </row>
    <row r="60">
      <c r="A60" s="123"/>
      <c r="B60" s="124"/>
    </row>
    <row r="61">
      <c r="A61" s="123"/>
      <c r="B61" s="124"/>
    </row>
    <row r="62">
      <c r="A62" s="123"/>
      <c r="B62" s="124"/>
    </row>
    <row r="63">
      <c r="A63" s="123"/>
      <c r="B63" s="124"/>
    </row>
    <row r="64">
      <c r="A64" s="123"/>
      <c r="B64" s="124"/>
    </row>
    <row r="65">
      <c r="A65" s="123"/>
      <c r="B65" s="124"/>
    </row>
    <row r="66">
      <c r="A66" s="123"/>
      <c r="B66" s="124"/>
    </row>
    <row r="67">
      <c r="A67" s="123"/>
      <c r="B67" s="124"/>
    </row>
    <row r="68">
      <c r="A68" s="123"/>
      <c r="B68" s="124"/>
    </row>
    <row r="69">
      <c r="A69" s="123"/>
      <c r="B69" s="124"/>
    </row>
    <row r="70">
      <c r="A70" s="123"/>
      <c r="B70" s="124"/>
    </row>
    <row r="71">
      <c r="A71" s="123"/>
      <c r="B71" s="124"/>
    </row>
    <row r="72">
      <c r="A72" s="123"/>
      <c r="B72" s="124"/>
    </row>
    <row r="73">
      <c r="A73" s="123"/>
      <c r="B73" s="124"/>
    </row>
    <row r="74">
      <c r="A74" s="123"/>
      <c r="B74" s="124"/>
    </row>
    <row r="75">
      <c r="A75" s="123"/>
      <c r="B75" s="124"/>
    </row>
    <row r="76">
      <c r="A76" s="123"/>
      <c r="B76" s="124"/>
    </row>
    <row r="77">
      <c r="A77" s="123"/>
      <c r="B77" s="124"/>
    </row>
    <row r="78">
      <c r="A78" s="123"/>
      <c r="B78" s="124"/>
    </row>
    <row r="79">
      <c r="A79" s="123"/>
      <c r="B79" s="124"/>
    </row>
    <row r="80">
      <c r="A80" s="123"/>
      <c r="B80" s="124"/>
    </row>
    <row r="81">
      <c r="A81" s="123"/>
      <c r="B81" s="124"/>
    </row>
    <row r="82">
      <c r="A82" s="123"/>
      <c r="B82" s="124"/>
    </row>
    <row r="83">
      <c r="A83" s="123"/>
      <c r="B83" s="124"/>
    </row>
    <row r="84">
      <c r="A84" s="123"/>
      <c r="B84" s="124"/>
    </row>
    <row r="85">
      <c r="A85" s="123"/>
      <c r="B85" s="124"/>
    </row>
    <row r="86">
      <c r="A86" s="123"/>
      <c r="B86" s="124"/>
    </row>
    <row r="87">
      <c r="A87" s="123"/>
      <c r="B87" s="124"/>
    </row>
    <row r="88">
      <c r="A88" s="123"/>
      <c r="B88" s="124"/>
    </row>
    <row r="89">
      <c r="A89" s="123"/>
      <c r="B89" s="124"/>
    </row>
    <row r="90">
      <c r="A90" s="123"/>
      <c r="B90" s="124"/>
    </row>
    <row r="91">
      <c r="A91" s="123"/>
      <c r="B91" s="124"/>
    </row>
    <row r="92">
      <c r="A92" s="123"/>
      <c r="B92" s="124"/>
    </row>
    <row r="93">
      <c r="A93" s="123"/>
      <c r="B93" s="124"/>
    </row>
    <row r="94">
      <c r="A94" s="123"/>
      <c r="B94" s="124"/>
    </row>
    <row r="95">
      <c r="A95" s="123"/>
      <c r="B95" s="124"/>
    </row>
    <row r="96">
      <c r="A96" s="123"/>
      <c r="B96" s="124"/>
    </row>
    <row r="97">
      <c r="A97" s="123"/>
      <c r="B97" s="124"/>
    </row>
    <row r="98">
      <c r="A98" s="123"/>
      <c r="B98" s="124"/>
    </row>
    <row r="99">
      <c r="A99" s="123"/>
      <c r="B99" s="124"/>
    </row>
    <row r="100">
      <c r="A100" s="123"/>
      <c r="B100" s="124"/>
    </row>
    <row r="101">
      <c r="A101" s="123"/>
      <c r="B101" s="124"/>
    </row>
    <row r="102">
      <c r="A102" s="123"/>
      <c r="B102" s="124"/>
    </row>
    <row r="103">
      <c r="A103" s="123"/>
      <c r="B103" s="124"/>
    </row>
    <row r="104">
      <c r="A104" s="123"/>
      <c r="B104" s="124"/>
    </row>
    <row r="105">
      <c r="A105" s="123"/>
      <c r="B105" s="124"/>
    </row>
    <row r="106">
      <c r="A106" s="123"/>
      <c r="B106" s="124"/>
    </row>
    <row r="107">
      <c r="A107" s="123"/>
      <c r="B107" s="124"/>
    </row>
    <row r="108">
      <c r="A108" s="123"/>
      <c r="B108" s="124"/>
    </row>
    <row r="109">
      <c r="A109" s="123"/>
      <c r="B109" s="124"/>
    </row>
    <row r="110">
      <c r="A110" s="123"/>
      <c r="B110" s="124"/>
    </row>
    <row r="111">
      <c r="A111" s="123"/>
      <c r="B111" s="124"/>
    </row>
    <row r="112">
      <c r="A112" s="123"/>
      <c r="B112" s="124"/>
    </row>
    <row r="113">
      <c r="A113" s="123"/>
      <c r="B113" s="124"/>
    </row>
    <row r="114">
      <c r="A114" s="123"/>
      <c r="B114" s="124"/>
    </row>
    <row r="115">
      <c r="A115" s="123"/>
      <c r="B115" s="124"/>
    </row>
    <row r="116">
      <c r="A116" s="123"/>
      <c r="B116" s="124"/>
    </row>
    <row r="117">
      <c r="A117" s="123"/>
      <c r="B117" s="124"/>
    </row>
    <row r="118">
      <c r="A118" s="123"/>
      <c r="B118" s="124"/>
    </row>
    <row r="119">
      <c r="A119" s="123"/>
      <c r="B119" s="124"/>
    </row>
    <row r="120">
      <c r="A120" s="123"/>
      <c r="B120" s="124"/>
    </row>
    <row r="121">
      <c r="A121" s="123"/>
      <c r="B121" s="124"/>
    </row>
    <row r="122">
      <c r="A122" s="123"/>
      <c r="B122" s="124"/>
    </row>
    <row r="123">
      <c r="A123" s="123"/>
      <c r="B123" s="124"/>
    </row>
    <row r="124">
      <c r="A124" s="123"/>
      <c r="B124" s="124"/>
    </row>
    <row r="125">
      <c r="A125" s="123"/>
      <c r="B125" s="124"/>
    </row>
    <row r="126">
      <c r="A126" s="123"/>
      <c r="B126" s="124"/>
    </row>
    <row r="127">
      <c r="A127" s="123"/>
      <c r="B127" s="124"/>
    </row>
    <row r="128">
      <c r="A128" s="123"/>
      <c r="B128" s="124"/>
    </row>
    <row r="129">
      <c r="A129" s="123"/>
      <c r="B129" s="124"/>
    </row>
    <row r="130">
      <c r="A130" s="123"/>
      <c r="B130" s="124"/>
    </row>
    <row r="131">
      <c r="A131" s="123"/>
      <c r="B131" s="124"/>
    </row>
    <row r="132">
      <c r="A132" s="123"/>
      <c r="B132" s="124"/>
    </row>
    <row r="133">
      <c r="A133" s="123"/>
      <c r="B133" s="124"/>
    </row>
    <row r="134">
      <c r="A134" s="123"/>
      <c r="B134" s="124"/>
    </row>
    <row r="135">
      <c r="A135" s="123"/>
      <c r="B135" s="124"/>
    </row>
    <row r="136">
      <c r="A136" s="123"/>
      <c r="B136" s="124"/>
    </row>
    <row r="137">
      <c r="A137" s="123"/>
      <c r="B137" s="124"/>
    </row>
    <row r="138">
      <c r="A138" s="123"/>
      <c r="B138" s="124"/>
    </row>
    <row r="139">
      <c r="A139" s="123"/>
      <c r="B139" s="124"/>
    </row>
    <row r="140">
      <c r="A140" s="123"/>
      <c r="B140" s="124"/>
    </row>
    <row r="141">
      <c r="A141" s="123"/>
      <c r="B141" s="124"/>
    </row>
    <row r="142">
      <c r="A142" s="123"/>
      <c r="B142" s="124"/>
    </row>
    <row r="143">
      <c r="A143" s="123"/>
      <c r="B143" s="124"/>
    </row>
    <row r="144">
      <c r="A144" s="123"/>
      <c r="B144" s="124"/>
    </row>
    <row r="145">
      <c r="A145" s="123"/>
      <c r="B145" s="124"/>
    </row>
    <row r="146">
      <c r="A146" s="123"/>
      <c r="B146" s="124"/>
    </row>
    <row r="147">
      <c r="A147" s="123"/>
      <c r="B147" s="124"/>
    </row>
    <row r="148">
      <c r="A148" s="123"/>
      <c r="B148" s="124"/>
    </row>
    <row r="149">
      <c r="A149" s="123"/>
      <c r="B149" s="124"/>
    </row>
    <row r="150">
      <c r="A150" s="123"/>
      <c r="B150" s="124"/>
    </row>
    <row r="151">
      <c r="A151" s="123"/>
      <c r="B151" s="124"/>
    </row>
    <row r="152">
      <c r="A152" s="123"/>
      <c r="B152" s="124"/>
    </row>
    <row r="153">
      <c r="A153" s="123"/>
      <c r="B153" s="124"/>
    </row>
    <row r="154">
      <c r="A154" s="123"/>
      <c r="B154" s="124"/>
    </row>
    <row r="155">
      <c r="A155" s="123"/>
      <c r="B155" s="124"/>
    </row>
    <row r="156">
      <c r="A156" s="123"/>
      <c r="B156" s="124"/>
    </row>
    <row r="157">
      <c r="A157" s="123"/>
      <c r="B157" s="124"/>
    </row>
    <row r="158">
      <c r="A158" s="123"/>
      <c r="B158" s="124"/>
    </row>
    <row r="159">
      <c r="A159" s="123"/>
      <c r="B159" s="124"/>
    </row>
    <row r="160">
      <c r="A160" s="123"/>
      <c r="B160" s="124"/>
    </row>
    <row r="161">
      <c r="A161" s="123"/>
      <c r="B161" s="124"/>
    </row>
    <row r="162">
      <c r="A162" s="123"/>
      <c r="B162" s="124"/>
    </row>
    <row r="163">
      <c r="A163" s="123"/>
      <c r="B163" s="124"/>
    </row>
    <row r="164">
      <c r="A164" s="123"/>
      <c r="B164" s="124"/>
    </row>
    <row r="165">
      <c r="A165" s="123"/>
      <c r="B165" s="124"/>
    </row>
    <row r="166">
      <c r="A166" s="123"/>
      <c r="B166" s="124"/>
    </row>
    <row r="167">
      <c r="A167" s="123"/>
      <c r="B167" s="124"/>
    </row>
    <row r="168">
      <c r="A168" s="123"/>
      <c r="B168" s="124"/>
    </row>
    <row r="169">
      <c r="A169" s="123"/>
      <c r="B169" s="124"/>
    </row>
    <row r="170">
      <c r="A170" s="123"/>
      <c r="B170" s="124"/>
    </row>
    <row r="171">
      <c r="A171" s="123"/>
      <c r="B171" s="124"/>
    </row>
    <row r="172">
      <c r="A172" s="123"/>
      <c r="B172" s="124"/>
    </row>
    <row r="173">
      <c r="A173" s="123"/>
      <c r="B173" s="124"/>
    </row>
    <row r="174">
      <c r="A174" s="123"/>
      <c r="B174" s="124"/>
    </row>
    <row r="175">
      <c r="A175" s="123"/>
      <c r="B175" s="124"/>
    </row>
    <row r="176">
      <c r="A176" s="123"/>
      <c r="B176" s="124"/>
    </row>
    <row r="177">
      <c r="A177" s="123"/>
      <c r="B177" s="124"/>
    </row>
    <row r="178">
      <c r="A178" s="123"/>
      <c r="B178" s="124"/>
    </row>
    <row r="179">
      <c r="A179" s="123"/>
      <c r="B179" s="124"/>
    </row>
    <row r="180">
      <c r="A180" s="123"/>
      <c r="B180" s="124"/>
    </row>
    <row r="181">
      <c r="A181" s="123"/>
      <c r="B181" s="124"/>
    </row>
    <row r="182">
      <c r="A182" s="123"/>
      <c r="B182" s="124"/>
    </row>
    <row r="183">
      <c r="A183" s="123"/>
      <c r="B183" s="124"/>
    </row>
    <row r="184">
      <c r="A184" s="123"/>
      <c r="B184" s="124"/>
    </row>
    <row r="185">
      <c r="A185" s="123"/>
      <c r="B185" s="124"/>
    </row>
    <row r="186">
      <c r="A186" s="123"/>
      <c r="B186" s="124"/>
    </row>
    <row r="187">
      <c r="A187" s="123"/>
      <c r="B187" s="124"/>
    </row>
    <row r="188">
      <c r="A188" s="123"/>
      <c r="B188" s="124"/>
    </row>
    <row r="189">
      <c r="A189" s="123"/>
      <c r="B189" s="124"/>
    </row>
    <row r="190">
      <c r="A190" s="123"/>
      <c r="B190" s="124"/>
    </row>
    <row r="191">
      <c r="A191" s="123"/>
      <c r="B191" s="124"/>
    </row>
    <row r="192">
      <c r="A192" s="123"/>
      <c r="B192" s="124"/>
    </row>
    <row r="193">
      <c r="A193" s="123"/>
      <c r="B193" s="124"/>
    </row>
    <row r="194">
      <c r="A194" s="123"/>
      <c r="B194" s="124"/>
    </row>
    <row r="195">
      <c r="A195" s="123"/>
      <c r="B195" s="124"/>
    </row>
    <row r="196">
      <c r="A196" s="123"/>
      <c r="B196" s="124"/>
    </row>
    <row r="197">
      <c r="A197" s="123"/>
      <c r="B197" s="124"/>
    </row>
    <row r="198">
      <c r="A198" s="123"/>
      <c r="B198" s="124"/>
    </row>
    <row r="199">
      <c r="A199" s="123"/>
      <c r="B199" s="124"/>
    </row>
    <row r="200">
      <c r="A200" s="123"/>
      <c r="B200" s="124"/>
    </row>
    <row r="201">
      <c r="A201" s="123"/>
      <c r="B201" s="124"/>
    </row>
    <row r="202">
      <c r="A202" s="123"/>
      <c r="B202" s="124"/>
    </row>
    <row r="203">
      <c r="A203" s="123"/>
      <c r="B203" s="124"/>
    </row>
    <row r="204">
      <c r="A204" s="123"/>
      <c r="B204" s="124"/>
    </row>
    <row r="205">
      <c r="A205" s="123"/>
      <c r="B205" s="124"/>
    </row>
    <row r="206">
      <c r="A206" s="123"/>
      <c r="B206" s="124"/>
    </row>
    <row r="207">
      <c r="A207" s="123"/>
      <c r="B207" s="124"/>
    </row>
    <row r="208">
      <c r="A208" s="123"/>
      <c r="B208" s="124"/>
    </row>
    <row r="209">
      <c r="A209" s="123"/>
      <c r="B209" s="124"/>
    </row>
    <row r="210">
      <c r="A210" s="123"/>
      <c r="B210" s="124"/>
    </row>
    <row r="211">
      <c r="A211" s="123"/>
      <c r="B211" s="124"/>
    </row>
    <row r="212">
      <c r="A212" s="123"/>
      <c r="B212" s="124"/>
    </row>
    <row r="213">
      <c r="A213" s="123"/>
      <c r="B213" s="124"/>
    </row>
    <row r="214">
      <c r="A214" s="123"/>
      <c r="B214" s="124"/>
    </row>
    <row r="215">
      <c r="A215" s="123"/>
      <c r="B215" s="124"/>
    </row>
    <row r="216">
      <c r="A216" s="123"/>
      <c r="B216" s="124"/>
    </row>
    <row r="217">
      <c r="A217" s="123"/>
      <c r="B217" s="124"/>
    </row>
    <row r="218">
      <c r="A218" s="123"/>
      <c r="B218" s="124"/>
    </row>
    <row r="219">
      <c r="A219" s="123"/>
      <c r="B219" s="124"/>
    </row>
    <row r="220">
      <c r="A220" s="123"/>
      <c r="B220" s="124"/>
    </row>
    <row r="221">
      <c r="A221" s="123"/>
      <c r="B221" s="124"/>
    </row>
    <row r="222">
      <c r="A222" s="123"/>
      <c r="B222" s="124"/>
    </row>
    <row r="223">
      <c r="A223" s="123"/>
      <c r="B223" s="124"/>
    </row>
    <row r="224">
      <c r="A224" s="123"/>
      <c r="B224" s="124"/>
    </row>
    <row r="225">
      <c r="A225" s="123"/>
      <c r="B225" s="124"/>
    </row>
    <row r="226">
      <c r="A226" s="123"/>
      <c r="B226" s="124"/>
    </row>
    <row r="227">
      <c r="A227" s="123"/>
      <c r="B227" s="124"/>
    </row>
    <row r="228">
      <c r="A228" s="123"/>
      <c r="B228" s="124"/>
    </row>
    <row r="229">
      <c r="A229" s="123"/>
      <c r="B229" s="124"/>
    </row>
    <row r="230">
      <c r="A230" s="123"/>
      <c r="B230" s="124"/>
    </row>
    <row r="231">
      <c r="A231" s="123"/>
      <c r="B231" s="124"/>
    </row>
    <row r="232">
      <c r="A232" s="123"/>
      <c r="B232" s="124"/>
    </row>
    <row r="233">
      <c r="A233" s="123"/>
      <c r="B233" s="124"/>
    </row>
    <row r="234">
      <c r="A234" s="123"/>
      <c r="B234" s="124"/>
    </row>
    <row r="235">
      <c r="A235" s="123"/>
      <c r="B235" s="124"/>
    </row>
    <row r="236">
      <c r="A236" s="123"/>
      <c r="B236" s="124"/>
    </row>
    <row r="237">
      <c r="A237" s="123"/>
      <c r="B237" s="124"/>
    </row>
    <row r="238">
      <c r="A238" s="123"/>
      <c r="B238" s="124"/>
    </row>
    <row r="239">
      <c r="A239" s="123"/>
      <c r="B239" s="124"/>
    </row>
    <row r="240">
      <c r="A240" s="123"/>
      <c r="B240" s="124"/>
    </row>
    <row r="241">
      <c r="A241" s="123"/>
      <c r="B241" s="124"/>
    </row>
    <row r="242">
      <c r="A242" s="123"/>
      <c r="B242" s="124"/>
    </row>
    <row r="243">
      <c r="A243" s="123"/>
      <c r="B243" s="124"/>
    </row>
    <row r="244">
      <c r="A244" s="123"/>
      <c r="B244" s="124"/>
    </row>
    <row r="245">
      <c r="A245" s="123"/>
      <c r="B245" s="124"/>
    </row>
    <row r="246">
      <c r="A246" s="123"/>
      <c r="B246" s="124"/>
    </row>
    <row r="247">
      <c r="A247" s="123"/>
      <c r="B247" s="124"/>
    </row>
    <row r="248">
      <c r="A248" s="123"/>
      <c r="B248" s="124"/>
    </row>
    <row r="249">
      <c r="A249" s="123"/>
      <c r="B249" s="124"/>
    </row>
    <row r="250">
      <c r="A250" s="123"/>
      <c r="B250" s="124"/>
    </row>
    <row r="251">
      <c r="A251" s="123"/>
      <c r="B251" s="124"/>
    </row>
    <row r="252">
      <c r="A252" s="123"/>
      <c r="B252" s="124"/>
    </row>
    <row r="253">
      <c r="A253" s="123"/>
      <c r="B253" s="124"/>
    </row>
    <row r="254">
      <c r="A254" s="123"/>
      <c r="B254" s="124"/>
    </row>
    <row r="255">
      <c r="A255" s="123"/>
      <c r="B255" s="124"/>
    </row>
    <row r="256">
      <c r="A256" s="123"/>
      <c r="B256" s="124"/>
    </row>
    <row r="257">
      <c r="A257" s="123"/>
      <c r="B257" s="124"/>
    </row>
    <row r="258">
      <c r="A258" s="123"/>
      <c r="B258" s="124"/>
    </row>
    <row r="259">
      <c r="A259" s="123"/>
      <c r="B259" s="124"/>
    </row>
    <row r="260">
      <c r="A260" s="123"/>
      <c r="B260" s="124"/>
    </row>
    <row r="261">
      <c r="A261" s="123"/>
      <c r="B261" s="124"/>
    </row>
    <row r="262">
      <c r="A262" s="123"/>
      <c r="B262" s="124"/>
    </row>
    <row r="263">
      <c r="A263" s="123"/>
      <c r="B263" s="124"/>
    </row>
    <row r="264">
      <c r="A264" s="123"/>
      <c r="B264" s="124"/>
    </row>
    <row r="265">
      <c r="A265" s="123"/>
      <c r="B265" s="124"/>
    </row>
    <row r="266">
      <c r="A266" s="123"/>
      <c r="B266" s="124"/>
    </row>
    <row r="267">
      <c r="A267" s="123"/>
      <c r="B267" s="124"/>
    </row>
    <row r="268">
      <c r="A268" s="123"/>
      <c r="B268" s="124"/>
    </row>
    <row r="269">
      <c r="A269" s="123"/>
      <c r="B269" s="124"/>
    </row>
    <row r="270">
      <c r="A270" s="123"/>
      <c r="B270" s="124"/>
    </row>
    <row r="271">
      <c r="A271" s="123"/>
      <c r="B271" s="124"/>
    </row>
    <row r="272">
      <c r="A272" s="123"/>
      <c r="B272" s="124"/>
    </row>
    <row r="273">
      <c r="A273" s="123"/>
      <c r="B273" s="124"/>
    </row>
    <row r="274">
      <c r="A274" s="123"/>
      <c r="B274" s="124"/>
    </row>
    <row r="275">
      <c r="A275" s="123"/>
      <c r="B275" s="124"/>
    </row>
    <row r="276">
      <c r="A276" s="123"/>
      <c r="B276" s="124"/>
    </row>
    <row r="277">
      <c r="A277" s="123"/>
      <c r="B277" s="124"/>
    </row>
    <row r="278">
      <c r="A278" s="123"/>
      <c r="B278" s="124"/>
    </row>
    <row r="279">
      <c r="A279" s="123"/>
      <c r="B279" s="124"/>
    </row>
    <row r="280">
      <c r="A280" s="123"/>
      <c r="B280" s="124"/>
    </row>
    <row r="281">
      <c r="A281" s="123"/>
      <c r="B281" s="124"/>
    </row>
    <row r="282">
      <c r="A282" s="123"/>
      <c r="B282" s="124"/>
    </row>
    <row r="283">
      <c r="A283" s="123"/>
      <c r="B283" s="124"/>
    </row>
    <row r="284">
      <c r="A284" s="123"/>
      <c r="B284" s="124"/>
    </row>
    <row r="285">
      <c r="A285" s="123"/>
      <c r="B285" s="124"/>
    </row>
    <row r="286">
      <c r="A286" s="123"/>
      <c r="B286" s="124"/>
    </row>
    <row r="287">
      <c r="A287" s="123"/>
      <c r="B287" s="124"/>
    </row>
    <row r="288">
      <c r="A288" s="123"/>
      <c r="B288" s="124"/>
    </row>
    <row r="289">
      <c r="A289" s="123"/>
      <c r="B289" s="124"/>
    </row>
    <row r="290">
      <c r="A290" s="123"/>
      <c r="B290" s="124"/>
    </row>
    <row r="291">
      <c r="A291" s="123"/>
      <c r="B291" s="124"/>
    </row>
    <row r="292">
      <c r="A292" s="123"/>
      <c r="B292" s="124"/>
    </row>
    <row r="293">
      <c r="A293" s="123"/>
      <c r="B293" s="124"/>
    </row>
    <row r="294">
      <c r="A294" s="123"/>
      <c r="B294" s="124"/>
    </row>
    <row r="295">
      <c r="A295" s="123"/>
      <c r="B295" s="124"/>
    </row>
    <row r="296">
      <c r="A296" s="123"/>
      <c r="B296" s="124"/>
    </row>
    <row r="297">
      <c r="A297" s="123"/>
      <c r="B297" s="124"/>
    </row>
    <row r="298">
      <c r="A298" s="123"/>
      <c r="B298" s="124"/>
    </row>
    <row r="299">
      <c r="A299" s="123"/>
      <c r="B299" s="124"/>
    </row>
    <row r="300">
      <c r="A300" s="123"/>
      <c r="B300" s="124"/>
    </row>
    <row r="301">
      <c r="A301" s="123"/>
      <c r="B301" s="124"/>
    </row>
    <row r="302">
      <c r="A302" s="123"/>
      <c r="B302" s="124"/>
    </row>
    <row r="303">
      <c r="A303" s="123"/>
      <c r="B303" s="124"/>
    </row>
    <row r="304">
      <c r="A304" s="123"/>
      <c r="B304" s="124"/>
    </row>
    <row r="305">
      <c r="A305" s="123"/>
      <c r="B305" s="124"/>
    </row>
    <row r="306">
      <c r="A306" s="123"/>
      <c r="B306" s="124"/>
    </row>
    <row r="307">
      <c r="A307" s="123"/>
      <c r="B307" s="124"/>
    </row>
    <row r="308">
      <c r="A308" s="123"/>
      <c r="B308" s="124"/>
    </row>
    <row r="309">
      <c r="A309" s="123"/>
      <c r="B309" s="124"/>
    </row>
    <row r="310">
      <c r="A310" s="123"/>
      <c r="B310" s="124"/>
    </row>
    <row r="311">
      <c r="A311" s="123"/>
      <c r="B311" s="124"/>
    </row>
    <row r="312">
      <c r="A312" s="123"/>
      <c r="B312" s="124"/>
    </row>
    <row r="313">
      <c r="A313" s="123"/>
      <c r="B313" s="124"/>
    </row>
    <row r="314">
      <c r="A314" s="123"/>
      <c r="B314" s="124"/>
    </row>
    <row r="315">
      <c r="A315" s="123"/>
      <c r="B315" s="124"/>
    </row>
    <row r="316">
      <c r="A316" s="123"/>
      <c r="B316" s="124"/>
    </row>
    <row r="317">
      <c r="A317" s="123"/>
      <c r="B317" s="124"/>
    </row>
    <row r="318">
      <c r="A318" s="123"/>
      <c r="B318" s="124"/>
    </row>
    <row r="319">
      <c r="A319" s="123"/>
      <c r="B319" s="124"/>
    </row>
    <row r="320">
      <c r="A320" s="123"/>
      <c r="B320" s="124"/>
    </row>
    <row r="321">
      <c r="A321" s="123"/>
      <c r="B321" s="124"/>
    </row>
    <row r="322">
      <c r="A322" s="123"/>
      <c r="B322" s="124"/>
    </row>
    <row r="323">
      <c r="A323" s="123"/>
      <c r="B323" s="124"/>
    </row>
    <row r="324">
      <c r="A324" s="123"/>
      <c r="B324" s="124"/>
    </row>
    <row r="325">
      <c r="A325" s="123"/>
      <c r="B325" s="124"/>
    </row>
    <row r="326">
      <c r="A326" s="123"/>
      <c r="B326" s="124"/>
    </row>
    <row r="327">
      <c r="A327" s="123"/>
      <c r="B327" s="124"/>
    </row>
    <row r="328">
      <c r="A328" s="123"/>
      <c r="B328" s="124"/>
    </row>
    <row r="329">
      <c r="A329" s="123"/>
      <c r="B329" s="124"/>
    </row>
    <row r="330">
      <c r="A330" s="123"/>
      <c r="B330" s="124"/>
    </row>
    <row r="331">
      <c r="A331" s="123"/>
      <c r="B331" s="124"/>
    </row>
    <row r="332">
      <c r="A332" s="123"/>
      <c r="B332" s="124"/>
    </row>
    <row r="333">
      <c r="A333" s="123"/>
      <c r="B333" s="124"/>
    </row>
    <row r="334">
      <c r="A334" s="123"/>
      <c r="B334" s="124"/>
    </row>
    <row r="335">
      <c r="A335" s="123"/>
      <c r="B335" s="124"/>
    </row>
    <row r="336">
      <c r="A336" s="123"/>
      <c r="B336" s="124"/>
    </row>
    <row r="337">
      <c r="A337" s="123"/>
      <c r="B337" s="124"/>
    </row>
    <row r="338">
      <c r="A338" s="123"/>
      <c r="B338" s="124"/>
    </row>
    <row r="339">
      <c r="A339" s="123"/>
      <c r="B339" s="124"/>
    </row>
    <row r="340">
      <c r="A340" s="123"/>
      <c r="B340" s="124"/>
    </row>
    <row r="341">
      <c r="A341" s="123"/>
      <c r="B341" s="124"/>
    </row>
    <row r="342">
      <c r="A342" s="123"/>
      <c r="B342" s="124"/>
    </row>
    <row r="343">
      <c r="A343" s="123"/>
      <c r="B343" s="124"/>
    </row>
    <row r="344">
      <c r="A344" s="123"/>
      <c r="B344" s="124"/>
    </row>
    <row r="345">
      <c r="A345" s="123"/>
      <c r="B345" s="124"/>
    </row>
    <row r="346">
      <c r="A346" s="123"/>
      <c r="B346" s="124"/>
    </row>
    <row r="347">
      <c r="A347" s="123"/>
      <c r="B347" s="124"/>
    </row>
    <row r="348">
      <c r="A348" s="123"/>
      <c r="B348" s="124"/>
    </row>
    <row r="349">
      <c r="A349" s="123"/>
      <c r="B349" s="124"/>
    </row>
    <row r="350">
      <c r="A350" s="123"/>
      <c r="B350" s="124"/>
    </row>
    <row r="351">
      <c r="A351" s="123"/>
      <c r="B351" s="124"/>
    </row>
    <row r="352">
      <c r="A352" s="123"/>
      <c r="B352" s="124"/>
    </row>
    <row r="353">
      <c r="A353" s="123"/>
      <c r="B353" s="124"/>
    </row>
    <row r="354">
      <c r="A354" s="123"/>
      <c r="B354" s="124"/>
    </row>
    <row r="355">
      <c r="A355" s="123"/>
      <c r="B355" s="124"/>
    </row>
    <row r="356">
      <c r="A356" s="123"/>
      <c r="B356" s="124"/>
    </row>
    <row r="357">
      <c r="A357" s="123"/>
      <c r="B357" s="124"/>
    </row>
    <row r="358">
      <c r="A358" s="123"/>
      <c r="B358" s="124"/>
    </row>
    <row r="359">
      <c r="A359" s="123"/>
      <c r="B359" s="124"/>
    </row>
    <row r="360">
      <c r="A360" s="123"/>
      <c r="B360" s="124"/>
    </row>
    <row r="361">
      <c r="A361" s="123"/>
      <c r="B361" s="124"/>
    </row>
    <row r="362">
      <c r="A362" s="123"/>
      <c r="B362" s="124"/>
    </row>
    <row r="363">
      <c r="A363" s="123"/>
      <c r="B363" s="124"/>
    </row>
    <row r="364">
      <c r="A364" s="123"/>
      <c r="B364" s="124"/>
    </row>
    <row r="365">
      <c r="A365" s="123"/>
      <c r="B365" s="124"/>
    </row>
    <row r="366">
      <c r="A366" s="123"/>
      <c r="B366" s="124"/>
    </row>
    <row r="367">
      <c r="A367" s="123"/>
      <c r="B367" s="124"/>
    </row>
    <row r="368">
      <c r="A368" s="123"/>
      <c r="B368" s="124"/>
    </row>
    <row r="369">
      <c r="A369" s="123"/>
      <c r="B369" s="124"/>
    </row>
    <row r="370">
      <c r="A370" s="123"/>
      <c r="B370" s="124"/>
    </row>
    <row r="371">
      <c r="A371" s="123"/>
      <c r="B371" s="124"/>
    </row>
    <row r="372">
      <c r="A372" s="123"/>
      <c r="B372" s="124"/>
    </row>
    <row r="373">
      <c r="A373" s="123"/>
      <c r="B373" s="124"/>
    </row>
    <row r="374">
      <c r="A374" s="123"/>
      <c r="B374" s="124"/>
    </row>
    <row r="375">
      <c r="A375" s="123"/>
      <c r="B375" s="124"/>
    </row>
    <row r="376">
      <c r="A376" s="123"/>
      <c r="B376" s="124"/>
    </row>
    <row r="377">
      <c r="A377" s="123"/>
      <c r="B377" s="124"/>
    </row>
    <row r="378">
      <c r="A378" s="123"/>
      <c r="B378" s="124"/>
    </row>
    <row r="379">
      <c r="A379" s="123"/>
      <c r="B379" s="124"/>
    </row>
    <row r="380">
      <c r="A380" s="123"/>
      <c r="B380" s="124"/>
    </row>
    <row r="381">
      <c r="A381" s="123"/>
      <c r="B381" s="124"/>
    </row>
    <row r="382">
      <c r="A382" s="123"/>
      <c r="B382" s="124"/>
    </row>
    <row r="383">
      <c r="A383" s="123"/>
      <c r="B383" s="124"/>
    </row>
    <row r="384">
      <c r="A384" s="123"/>
      <c r="B384" s="124"/>
    </row>
    <row r="385">
      <c r="A385" s="123"/>
      <c r="B385" s="124"/>
    </row>
    <row r="386">
      <c r="A386" s="123"/>
      <c r="B386" s="124"/>
    </row>
    <row r="387">
      <c r="A387" s="123"/>
      <c r="B387" s="124"/>
    </row>
    <row r="388">
      <c r="A388" s="123"/>
      <c r="B388" s="124"/>
    </row>
    <row r="389">
      <c r="A389" s="123"/>
      <c r="B389" s="124"/>
    </row>
    <row r="390">
      <c r="A390" s="123"/>
      <c r="B390" s="124"/>
    </row>
    <row r="391">
      <c r="A391" s="123"/>
      <c r="B391" s="124"/>
    </row>
    <row r="392">
      <c r="A392" s="123"/>
      <c r="B392" s="124"/>
    </row>
    <row r="393">
      <c r="A393" s="123"/>
      <c r="B393" s="124"/>
    </row>
    <row r="394">
      <c r="A394" s="123"/>
      <c r="B394" s="124"/>
    </row>
    <row r="395">
      <c r="A395" s="123"/>
      <c r="B395" s="124"/>
    </row>
    <row r="396">
      <c r="A396" s="123"/>
      <c r="B396" s="124"/>
    </row>
    <row r="397">
      <c r="A397" s="123"/>
      <c r="B397" s="124"/>
    </row>
    <row r="398">
      <c r="A398" s="123"/>
      <c r="B398" s="124"/>
    </row>
    <row r="399">
      <c r="A399" s="123"/>
      <c r="B399" s="124"/>
    </row>
    <row r="400">
      <c r="A400" s="123"/>
      <c r="B400" s="124"/>
    </row>
    <row r="401">
      <c r="A401" s="123"/>
      <c r="B401" s="124"/>
    </row>
    <row r="402">
      <c r="A402" s="123"/>
      <c r="B402" s="124"/>
    </row>
    <row r="403">
      <c r="A403" s="123"/>
      <c r="B403" s="124"/>
    </row>
    <row r="404">
      <c r="A404" s="123"/>
      <c r="B404" s="124"/>
    </row>
    <row r="405">
      <c r="A405" s="123"/>
      <c r="B405" s="124"/>
    </row>
    <row r="406">
      <c r="A406" s="123"/>
      <c r="B406" s="124"/>
    </row>
    <row r="407">
      <c r="A407" s="123"/>
      <c r="B407" s="124"/>
    </row>
    <row r="408">
      <c r="A408" s="123"/>
      <c r="B408" s="124"/>
    </row>
    <row r="409">
      <c r="A409" s="123"/>
      <c r="B409" s="124"/>
    </row>
    <row r="410">
      <c r="A410" s="123"/>
      <c r="B410" s="124"/>
    </row>
    <row r="411">
      <c r="A411" s="123"/>
      <c r="B411" s="124"/>
    </row>
    <row r="412">
      <c r="A412" s="123"/>
      <c r="B412" s="124"/>
    </row>
    <row r="413">
      <c r="A413" s="123"/>
      <c r="B413" s="124"/>
    </row>
    <row r="414">
      <c r="A414" s="123"/>
      <c r="B414" s="124"/>
    </row>
    <row r="415">
      <c r="A415" s="123"/>
      <c r="B415" s="124"/>
    </row>
    <row r="416">
      <c r="A416" s="123"/>
      <c r="B416" s="124"/>
    </row>
    <row r="417">
      <c r="A417" s="123"/>
      <c r="B417" s="124"/>
    </row>
    <row r="418">
      <c r="A418" s="123"/>
      <c r="B418" s="124"/>
    </row>
    <row r="419">
      <c r="A419" s="123"/>
      <c r="B419" s="124"/>
    </row>
    <row r="420">
      <c r="A420" s="123"/>
      <c r="B420" s="124"/>
    </row>
    <row r="421">
      <c r="A421" s="123"/>
      <c r="B421" s="124"/>
    </row>
    <row r="422">
      <c r="A422" s="123"/>
      <c r="B422" s="124"/>
    </row>
    <row r="423">
      <c r="A423" s="123"/>
      <c r="B423" s="124"/>
    </row>
    <row r="424">
      <c r="A424" s="123"/>
      <c r="B424" s="124"/>
    </row>
    <row r="425">
      <c r="A425" s="123"/>
      <c r="B425" s="124"/>
    </row>
    <row r="426">
      <c r="A426" s="123"/>
      <c r="B426" s="124"/>
    </row>
    <row r="427">
      <c r="A427" s="123"/>
      <c r="B427" s="124"/>
    </row>
    <row r="428">
      <c r="A428" s="123"/>
      <c r="B428" s="124"/>
    </row>
    <row r="429">
      <c r="A429" s="123"/>
      <c r="B429" s="124"/>
    </row>
    <row r="430">
      <c r="A430" s="123"/>
      <c r="B430" s="124"/>
    </row>
    <row r="431">
      <c r="A431" s="123"/>
      <c r="B431" s="124"/>
    </row>
    <row r="432">
      <c r="A432" s="123"/>
      <c r="B432" s="124"/>
    </row>
    <row r="433">
      <c r="A433" s="123"/>
      <c r="B433" s="124"/>
    </row>
    <row r="434">
      <c r="A434" s="123"/>
      <c r="B434" s="124"/>
    </row>
    <row r="435">
      <c r="A435" s="123"/>
      <c r="B435" s="124"/>
    </row>
    <row r="436">
      <c r="A436" s="123"/>
      <c r="B436" s="124"/>
    </row>
    <row r="437">
      <c r="A437" s="123"/>
      <c r="B437" s="124"/>
    </row>
    <row r="438">
      <c r="A438" s="123"/>
      <c r="B438" s="124"/>
    </row>
    <row r="439">
      <c r="A439" s="123"/>
      <c r="B439" s="124"/>
    </row>
    <row r="440">
      <c r="A440" s="123"/>
      <c r="B440" s="124"/>
    </row>
    <row r="441">
      <c r="A441" s="123"/>
      <c r="B441" s="124"/>
    </row>
    <row r="442">
      <c r="A442" s="123"/>
      <c r="B442" s="124"/>
    </row>
    <row r="443">
      <c r="A443" s="123"/>
      <c r="B443" s="124"/>
    </row>
    <row r="444">
      <c r="A444" s="123"/>
      <c r="B444" s="124"/>
    </row>
    <row r="445">
      <c r="A445" s="123"/>
      <c r="B445" s="124"/>
    </row>
    <row r="446">
      <c r="A446" s="123"/>
      <c r="B446" s="124"/>
    </row>
    <row r="447">
      <c r="A447" s="123"/>
      <c r="B447" s="124"/>
    </row>
    <row r="448">
      <c r="A448" s="123"/>
      <c r="B448" s="124"/>
    </row>
    <row r="449">
      <c r="A449" s="123"/>
      <c r="B449" s="124"/>
    </row>
    <row r="450">
      <c r="A450" s="123"/>
      <c r="B450" s="124"/>
    </row>
    <row r="451">
      <c r="A451" s="123"/>
      <c r="B451" s="124"/>
    </row>
    <row r="452">
      <c r="A452" s="123"/>
      <c r="B452" s="124"/>
    </row>
    <row r="453">
      <c r="A453" s="123"/>
      <c r="B453" s="124"/>
    </row>
    <row r="454">
      <c r="A454" s="123"/>
      <c r="B454" s="124"/>
    </row>
    <row r="455">
      <c r="A455" s="123"/>
      <c r="B455" s="124"/>
    </row>
    <row r="456">
      <c r="A456" s="123"/>
      <c r="B456" s="124"/>
    </row>
    <row r="457">
      <c r="A457" s="123"/>
      <c r="B457" s="124"/>
    </row>
    <row r="458">
      <c r="A458" s="123"/>
      <c r="B458" s="124"/>
    </row>
    <row r="459">
      <c r="A459" s="123"/>
      <c r="B459" s="124"/>
    </row>
    <row r="460">
      <c r="A460" s="123"/>
      <c r="B460" s="124"/>
    </row>
    <row r="461">
      <c r="A461" s="123"/>
      <c r="B461" s="124"/>
    </row>
    <row r="462">
      <c r="A462" s="123"/>
      <c r="B462" s="124"/>
    </row>
    <row r="463">
      <c r="A463" s="123"/>
      <c r="B463" s="124"/>
    </row>
    <row r="464">
      <c r="A464" s="123"/>
      <c r="B464" s="124"/>
    </row>
    <row r="465">
      <c r="A465" s="123"/>
      <c r="B465" s="124"/>
    </row>
    <row r="466">
      <c r="A466" s="123"/>
      <c r="B466" s="124"/>
    </row>
    <row r="467">
      <c r="A467" s="123"/>
      <c r="B467" s="124"/>
    </row>
    <row r="468">
      <c r="A468" s="123"/>
      <c r="B468" s="124"/>
    </row>
    <row r="469">
      <c r="A469" s="123"/>
      <c r="B469" s="124"/>
    </row>
    <row r="470">
      <c r="A470" s="123"/>
      <c r="B470" s="124"/>
    </row>
    <row r="471">
      <c r="A471" s="123"/>
      <c r="B471" s="124"/>
    </row>
    <row r="472">
      <c r="A472" s="123"/>
      <c r="B472" s="124"/>
    </row>
    <row r="473">
      <c r="A473" s="123"/>
      <c r="B473" s="124"/>
    </row>
    <row r="474">
      <c r="A474" s="123"/>
      <c r="B474" s="124"/>
    </row>
    <row r="475">
      <c r="A475" s="123"/>
      <c r="B475" s="124"/>
    </row>
    <row r="476">
      <c r="A476" s="123"/>
      <c r="B476" s="124"/>
    </row>
    <row r="477">
      <c r="A477" s="123"/>
      <c r="B477" s="124"/>
    </row>
    <row r="478">
      <c r="A478" s="123"/>
      <c r="B478" s="124"/>
    </row>
    <row r="479">
      <c r="A479" s="123"/>
      <c r="B479" s="124"/>
    </row>
    <row r="480">
      <c r="A480" s="123"/>
      <c r="B480" s="124"/>
    </row>
    <row r="481">
      <c r="A481" s="123"/>
      <c r="B481" s="124"/>
    </row>
    <row r="482">
      <c r="A482" s="123"/>
      <c r="B482" s="124"/>
    </row>
    <row r="483">
      <c r="A483" s="123"/>
      <c r="B483" s="124"/>
    </row>
    <row r="484">
      <c r="A484" s="123"/>
      <c r="B484" s="124"/>
    </row>
    <row r="485">
      <c r="A485" s="123"/>
      <c r="B485" s="124"/>
    </row>
    <row r="486">
      <c r="A486" s="123"/>
      <c r="B486" s="124"/>
    </row>
    <row r="487">
      <c r="A487" s="123"/>
      <c r="B487" s="124"/>
    </row>
    <row r="488">
      <c r="A488" s="123"/>
      <c r="B488" s="124"/>
    </row>
    <row r="489">
      <c r="A489" s="123"/>
      <c r="B489" s="124"/>
    </row>
    <row r="490">
      <c r="A490" s="123"/>
      <c r="B490" s="124"/>
    </row>
    <row r="491">
      <c r="A491" s="123"/>
      <c r="B491" s="124"/>
    </row>
    <row r="492">
      <c r="A492" s="123"/>
      <c r="B492" s="124"/>
    </row>
    <row r="493">
      <c r="A493" s="123"/>
      <c r="B493" s="124"/>
    </row>
    <row r="494">
      <c r="A494" s="123"/>
      <c r="B494" s="124"/>
    </row>
    <row r="495">
      <c r="A495" s="123"/>
      <c r="B495" s="124"/>
    </row>
    <row r="496">
      <c r="A496" s="123"/>
      <c r="B496" s="124"/>
    </row>
    <row r="497">
      <c r="A497" s="123"/>
      <c r="B497" s="124"/>
    </row>
    <row r="498">
      <c r="A498" s="123"/>
      <c r="B498" s="124"/>
    </row>
    <row r="499">
      <c r="A499" s="123"/>
      <c r="B499" s="124"/>
    </row>
    <row r="500">
      <c r="A500" s="123"/>
      <c r="B500" s="124"/>
    </row>
    <row r="501">
      <c r="A501" s="123"/>
      <c r="B501" s="124"/>
    </row>
    <row r="502">
      <c r="A502" s="123"/>
      <c r="B502" s="124"/>
    </row>
    <row r="503">
      <c r="A503" s="123"/>
      <c r="B503" s="124"/>
    </row>
    <row r="504">
      <c r="A504" s="123"/>
      <c r="B504" s="124"/>
    </row>
    <row r="505">
      <c r="A505" s="123"/>
      <c r="B505" s="124"/>
    </row>
    <row r="506">
      <c r="A506" s="123"/>
      <c r="B506" s="124"/>
    </row>
    <row r="507">
      <c r="A507" s="123"/>
      <c r="B507" s="124"/>
    </row>
    <row r="508">
      <c r="A508" s="123"/>
      <c r="B508" s="124"/>
    </row>
    <row r="509">
      <c r="A509" s="123"/>
      <c r="B509" s="124"/>
    </row>
    <row r="510">
      <c r="A510" s="123"/>
      <c r="B510" s="124"/>
    </row>
    <row r="511">
      <c r="A511" s="123"/>
      <c r="B511" s="124"/>
    </row>
    <row r="512">
      <c r="A512" s="123"/>
      <c r="B512" s="124"/>
    </row>
    <row r="513">
      <c r="A513" s="123"/>
      <c r="B513" s="124"/>
    </row>
    <row r="514">
      <c r="A514" s="123"/>
      <c r="B514" s="124"/>
    </row>
    <row r="515">
      <c r="A515" s="123"/>
      <c r="B515" s="124"/>
    </row>
    <row r="516">
      <c r="A516" s="123"/>
      <c r="B516" s="124"/>
    </row>
    <row r="517">
      <c r="A517" s="123"/>
      <c r="B517" s="124"/>
    </row>
    <row r="518">
      <c r="A518" s="123"/>
      <c r="B518" s="124"/>
    </row>
    <row r="519">
      <c r="A519" s="123"/>
      <c r="B519" s="124"/>
    </row>
    <row r="520">
      <c r="A520" s="123"/>
      <c r="B520" s="124"/>
    </row>
    <row r="521">
      <c r="A521" s="123"/>
      <c r="B521" s="124"/>
    </row>
    <row r="522">
      <c r="A522" s="123"/>
      <c r="B522" s="124"/>
    </row>
    <row r="523">
      <c r="A523" s="123"/>
      <c r="B523" s="124"/>
    </row>
    <row r="524">
      <c r="A524" s="123"/>
      <c r="B524" s="124"/>
    </row>
    <row r="525">
      <c r="A525" s="123"/>
      <c r="B525" s="124"/>
    </row>
    <row r="526">
      <c r="A526" s="123"/>
      <c r="B526" s="124"/>
    </row>
    <row r="527">
      <c r="A527" s="123"/>
      <c r="B527" s="124"/>
    </row>
    <row r="528">
      <c r="A528" s="123"/>
      <c r="B528" s="124"/>
    </row>
    <row r="529">
      <c r="A529" s="123"/>
      <c r="B529" s="124"/>
    </row>
    <row r="530">
      <c r="A530" s="123"/>
      <c r="B530" s="124"/>
    </row>
    <row r="531">
      <c r="A531" s="123"/>
      <c r="B531" s="124"/>
    </row>
    <row r="532">
      <c r="A532" s="123"/>
      <c r="B532" s="124"/>
    </row>
    <row r="533">
      <c r="A533" s="123"/>
      <c r="B533" s="124"/>
    </row>
    <row r="534">
      <c r="A534" s="123"/>
      <c r="B534" s="124"/>
    </row>
    <row r="535">
      <c r="A535" s="123"/>
      <c r="B535" s="124"/>
    </row>
    <row r="536">
      <c r="A536" s="123"/>
      <c r="B536" s="124"/>
    </row>
    <row r="537">
      <c r="A537" s="123"/>
      <c r="B537" s="124"/>
    </row>
    <row r="538">
      <c r="A538" s="123"/>
      <c r="B538" s="124"/>
    </row>
    <row r="539">
      <c r="A539" s="123"/>
      <c r="B539" s="124"/>
    </row>
    <row r="540">
      <c r="A540" s="123"/>
      <c r="B540" s="124"/>
    </row>
    <row r="541">
      <c r="A541" s="123"/>
      <c r="B541" s="124"/>
    </row>
    <row r="542">
      <c r="A542" s="123"/>
      <c r="B542" s="124"/>
    </row>
    <row r="543">
      <c r="A543" s="123"/>
      <c r="B543" s="124"/>
    </row>
    <row r="544">
      <c r="A544" s="123"/>
      <c r="B544" s="124"/>
    </row>
    <row r="545">
      <c r="A545" s="123"/>
      <c r="B545" s="124"/>
    </row>
    <row r="546">
      <c r="A546" s="123"/>
      <c r="B546" s="124"/>
    </row>
    <row r="547">
      <c r="A547" s="123"/>
      <c r="B547" s="124"/>
    </row>
    <row r="548">
      <c r="A548" s="123"/>
      <c r="B548" s="124"/>
    </row>
    <row r="549">
      <c r="A549" s="123"/>
      <c r="B549" s="124"/>
    </row>
    <row r="550">
      <c r="A550" s="123"/>
      <c r="B550" s="124"/>
    </row>
    <row r="551">
      <c r="A551" s="123"/>
      <c r="B551" s="124"/>
    </row>
    <row r="552">
      <c r="A552" s="123"/>
      <c r="B552" s="124"/>
    </row>
    <row r="553">
      <c r="A553" s="123"/>
      <c r="B553" s="124"/>
    </row>
    <row r="554">
      <c r="A554" s="123"/>
      <c r="B554" s="124"/>
    </row>
    <row r="555">
      <c r="A555" s="123"/>
      <c r="B555" s="124"/>
    </row>
    <row r="556">
      <c r="A556" s="123"/>
      <c r="B556" s="124"/>
    </row>
    <row r="557">
      <c r="A557" s="123"/>
      <c r="B557" s="124"/>
    </row>
    <row r="558">
      <c r="A558" s="123"/>
      <c r="B558" s="124"/>
    </row>
    <row r="559">
      <c r="A559" s="123"/>
      <c r="B559" s="124"/>
    </row>
    <row r="560">
      <c r="A560" s="123"/>
      <c r="B560" s="124"/>
    </row>
    <row r="561">
      <c r="A561" s="123"/>
      <c r="B561" s="124"/>
    </row>
    <row r="562">
      <c r="A562" s="123"/>
      <c r="B562" s="124"/>
    </row>
    <row r="563">
      <c r="A563" s="123"/>
      <c r="B563" s="124"/>
    </row>
    <row r="564">
      <c r="A564" s="123"/>
      <c r="B564" s="124"/>
    </row>
    <row r="565">
      <c r="A565" s="123"/>
      <c r="B565" s="124"/>
    </row>
    <row r="566">
      <c r="A566" s="123"/>
      <c r="B566" s="124"/>
    </row>
    <row r="567">
      <c r="A567" s="123"/>
      <c r="B567" s="124"/>
    </row>
    <row r="568">
      <c r="A568" s="123"/>
      <c r="B568" s="124"/>
    </row>
    <row r="569">
      <c r="A569" s="123"/>
      <c r="B569" s="124"/>
    </row>
    <row r="570">
      <c r="A570" s="123"/>
      <c r="B570" s="124"/>
    </row>
    <row r="571">
      <c r="A571" s="123"/>
      <c r="B571" s="124"/>
    </row>
    <row r="572">
      <c r="A572" s="123"/>
      <c r="B572" s="124"/>
    </row>
    <row r="573">
      <c r="A573" s="123"/>
      <c r="B573" s="124"/>
    </row>
    <row r="574">
      <c r="A574" s="123"/>
      <c r="B574" s="124"/>
    </row>
    <row r="575">
      <c r="A575" s="123"/>
      <c r="B575" s="124"/>
    </row>
    <row r="576">
      <c r="A576" s="123"/>
      <c r="B576" s="124"/>
    </row>
    <row r="577">
      <c r="A577" s="123"/>
      <c r="B577" s="124"/>
    </row>
    <row r="578">
      <c r="A578" s="123"/>
      <c r="B578" s="124"/>
    </row>
    <row r="579">
      <c r="A579" s="123"/>
      <c r="B579" s="124"/>
    </row>
    <row r="580">
      <c r="A580" s="123"/>
      <c r="B580" s="124"/>
    </row>
    <row r="581">
      <c r="A581" s="123"/>
      <c r="B581" s="124"/>
    </row>
    <row r="582">
      <c r="A582" s="123"/>
      <c r="B582" s="124"/>
    </row>
    <row r="583">
      <c r="A583" s="123"/>
      <c r="B583" s="124"/>
    </row>
    <row r="584">
      <c r="A584" s="123"/>
      <c r="B584" s="124"/>
    </row>
    <row r="585">
      <c r="A585" s="123"/>
      <c r="B585" s="124"/>
    </row>
    <row r="586">
      <c r="A586" s="123"/>
      <c r="B586" s="124"/>
    </row>
    <row r="587">
      <c r="A587" s="123"/>
      <c r="B587" s="124"/>
    </row>
    <row r="588">
      <c r="A588" s="123"/>
      <c r="B588" s="124"/>
    </row>
    <row r="589">
      <c r="A589" s="123"/>
      <c r="B589" s="124"/>
    </row>
    <row r="590">
      <c r="A590" s="123"/>
      <c r="B590" s="124"/>
    </row>
    <row r="591">
      <c r="A591" s="123"/>
      <c r="B591" s="124"/>
    </row>
    <row r="592">
      <c r="A592" s="123"/>
      <c r="B592" s="124"/>
    </row>
    <row r="593">
      <c r="A593" s="123"/>
      <c r="B593" s="124"/>
    </row>
    <row r="594">
      <c r="A594" s="123"/>
      <c r="B594" s="124"/>
    </row>
    <row r="595">
      <c r="A595" s="123"/>
      <c r="B595" s="124"/>
    </row>
    <row r="596">
      <c r="A596" s="123"/>
      <c r="B596" s="124"/>
    </row>
    <row r="597">
      <c r="A597" s="123"/>
      <c r="B597" s="124"/>
    </row>
    <row r="598">
      <c r="A598" s="123"/>
      <c r="B598" s="124"/>
    </row>
    <row r="599">
      <c r="A599" s="123"/>
      <c r="B599" s="124"/>
    </row>
    <row r="600">
      <c r="A600" s="123"/>
      <c r="B600" s="124"/>
    </row>
    <row r="601">
      <c r="A601" s="123"/>
      <c r="B601" s="124"/>
    </row>
    <row r="602">
      <c r="A602" s="123"/>
      <c r="B602" s="124"/>
    </row>
    <row r="603">
      <c r="A603" s="123"/>
      <c r="B603" s="124"/>
    </row>
    <row r="604">
      <c r="A604" s="123"/>
      <c r="B604" s="124"/>
    </row>
    <row r="605">
      <c r="A605" s="123"/>
      <c r="B605" s="124"/>
    </row>
    <row r="606">
      <c r="A606" s="123"/>
      <c r="B606" s="124"/>
    </row>
    <row r="607">
      <c r="A607" s="123"/>
      <c r="B607" s="124"/>
    </row>
    <row r="608">
      <c r="A608" s="123"/>
      <c r="B608" s="124"/>
    </row>
    <row r="609">
      <c r="A609" s="123"/>
      <c r="B609" s="124"/>
    </row>
    <row r="610">
      <c r="A610" s="123"/>
      <c r="B610" s="124"/>
    </row>
    <row r="611">
      <c r="A611" s="123"/>
      <c r="B611" s="124"/>
    </row>
    <row r="612">
      <c r="A612" s="123"/>
      <c r="B612" s="124"/>
    </row>
    <row r="613">
      <c r="A613" s="123"/>
      <c r="B613" s="124"/>
    </row>
    <row r="614">
      <c r="A614" s="123"/>
      <c r="B614" s="124"/>
    </row>
    <row r="615">
      <c r="A615" s="123"/>
      <c r="B615" s="124"/>
    </row>
    <row r="616">
      <c r="A616" s="123"/>
      <c r="B616" s="124"/>
    </row>
    <row r="617">
      <c r="A617" s="123"/>
      <c r="B617" s="124"/>
    </row>
    <row r="618">
      <c r="A618" s="123"/>
      <c r="B618" s="124"/>
    </row>
    <row r="619">
      <c r="A619" s="123"/>
      <c r="B619" s="124"/>
    </row>
    <row r="620">
      <c r="A620" s="123"/>
      <c r="B620" s="124"/>
    </row>
    <row r="621">
      <c r="A621" s="123"/>
      <c r="B621" s="124"/>
    </row>
    <row r="622">
      <c r="A622" s="123"/>
      <c r="B622" s="124"/>
    </row>
    <row r="623">
      <c r="A623" s="123"/>
      <c r="B623" s="124"/>
    </row>
    <row r="624">
      <c r="A624" s="123"/>
      <c r="B624" s="124"/>
    </row>
    <row r="625">
      <c r="A625" s="123"/>
      <c r="B625" s="124"/>
    </row>
    <row r="626">
      <c r="A626" s="123"/>
      <c r="B626" s="124"/>
    </row>
    <row r="627">
      <c r="A627" s="123"/>
      <c r="B627" s="124"/>
    </row>
    <row r="628">
      <c r="A628" s="123"/>
      <c r="B628" s="124"/>
    </row>
    <row r="629">
      <c r="A629" s="123"/>
      <c r="B629" s="124"/>
    </row>
    <row r="630">
      <c r="A630" s="123"/>
      <c r="B630" s="124"/>
    </row>
    <row r="631">
      <c r="A631" s="123"/>
      <c r="B631" s="124"/>
    </row>
    <row r="632">
      <c r="A632" s="123"/>
      <c r="B632" s="124"/>
    </row>
    <row r="633">
      <c r="A633" s="123"/>
      <c r="B633" s="124"/>
    </row>
    <row r="634">
      <c r="A634" s="123"/>
      <c r="B634" s="124"/>
    </row>
    <row r="635">
      <c r="A635" s="123"/>
      <c r="B635" s="124"/>
    </row>
    <row r="636">
      <c r="A636" s="123"/>
      <c r="B636" s="124"/>
    </row>
    <row r="637">
      <c r="A637" s="123"/>
      <c r="B637" s="124"/>
    </row>
    <row r="638">
      <c r="A638" s="123"/>
      <c r="B638" s="124"/>
    </row>
    <row r="639">
      <c r="A639" s="123"/>
      <c r="B639" s="124"/>
    </row>
    <row r="640">
      <c r="A640" s="123"/>
      <c r="B640" s="124"/>
    </row>
    <row r="641">
      <c r="A641" s="123"/>
      <c r="B641" s="124"/>
    </row>
    <row r="642">
      <c r="A642" s="123"/>
      <c r="B642" s="124"/>
    </row>
    <row r="643">
      <c r="A643" s="123"/>
      <c r="B643" s="124"/>
    </row>
    <row r="644">
      <c r="A644" s="123"/>
      <c r="B644" s="124"/>
    </row>
    <row r="645">
      <c r="A645" s="123"/>
      <c r="B645" s="124"/>
    </row>
    <row r="646">
      <c r="A646" s="123"/>
      <c r="B646" s="124"/>
    </row>
    <row r="647">
      <c r="A647" s="123"/>
      <c r="B647" s="124"/>
    </row>
    <row r="648">
      <c r="A648" s="123"/>
      <c r="B648" s="124"/>
    </row>
    <row r="649">
      <c r="A649" s="123"/>
      <c r="B649" s="124"/>
    </row>
    <row r="650">
      <c r="A650" s="123"/>
      <c r="B650" s="124"/>
    </row>
    <row r="651">
      <c r="A651" s="123"/>
      <c r="B651" s="124"/>
    </row>
    <row r="652">
      <c r="A652" s="123"/>
      <c r="B652" s="124"/>
    </row>
    <row r="653">
      <c r="A653" s="123"/>
      <c r="B653" s="124"/>
    </row>
    <row r="654">
      <c r="A654" s="123"/>
      <c r="B654" s="124"/>
    </row>
    <row r="655">
      <c r="A655" s="123"/>
      <c r="B655" s="124"/>
    </row>
    <row r="656">
      <c r="A656" s="123"/>
      <c r="B656" s="124"/>
    </row>
    <row r="657">
      <c r="A657" s="123"/>
      <c r="B657" s="124"/>
    </row>
    <row r="658">
      <c r="A658" s="123"/>
      <c r="B658" s="124"/>
    </row>
    <row r="659">
      <c r="A659" s="123"/>
      <c r="B659" s="124"/>
    </row>
    <row r="660">
      <c r="A660" s="123"/>
      <c r="B660" s="124"/>
    </row>
    <row r="661">
      <c r="A661" s="123"/>
      <c r="B661" s="124"/>
    </row>
    <row r="662">
      <c r="A662" s="123"/>
      <c r="B662" s="124"/>
    </row>
    <row r="663">
      <c r="A663" s="123"/>
      <c r="B663" s="124"/>
    </row>
    <row r="664">
      <c r="A664" s="123"/>
      <c r="B664" s="124"/>
    </row>
    <row r="665">
      <c r="A665" s="123"/>
      <c r="B665" s="124"/>
    </row>
    <row r="666">
      <c r="A666" s="123"/>
      <c r="B666" s="124"/>
    </row>
    <row r="667">
      <c r="A667" s="123"/>
      <c r="B667" s="124"/>
    </row>
    <row r="668">
      <c r="A668" s="123"/>
      <c r="B668" s="124"/>
    </row>
    <row r="669">
      <c r="A669" s="123"/>
      <c r="B669" s="124"/>
    </row>
    <row r="670">
      <c r="A670" s="123"/>
      <c r="B670" s="124"/>
    </row>
    <row r="671">
      <c r="A671" s="123"/>
      <c r="B671" s="124"/>
    </row>
    <row r="672">
      <c r="A672" s="123"/>
      <c r="B672" s="124"/>
    </row>
    <row r="673">
      <c r="A673" s="123"/>
      <c r="B673" s="124"/>
    </row>
    <row r="674">
      <c r="A674" s="123"/>
      <c r="B674" s="124"/>
    </row>
    <row r="675">
      <c r="A675" s="123"/>
      <c r="B675" s="124"/>
    </row>
    <row r="676">
      <c r="A676" s="123"/>
      <c r="B676" s="124"/>
    </row>
    <row r="677">
      <c r="A677" s="123"/>
      <c r="B677" s="124"/>
    </row>
    <row r="678">
      <c r="A678" s="123"/>
      <c r="B678" s="124"/>
    </row>
    <row r="679">
      <c r="A679" s="123"/>
      <c r="B679" s="124"/>
    </row>
    <row r="680">
      <c r="A680" s="123"/>
      <c r="B680" s="124"/>
    </row>
    <row r="681">
      <c r="A681" s="123"/>
      <c r="B681" s="124"/>
    </row>
    <row r="682">
      <c r="A682" s="123"/>
      <c r="B682" s="124"/>
    </row>
    <row r="683">
      <c r="A683" s="123"/>
      <c r="B683" s="124"/>
    </row>
    <row r="684">
      <c r="A684" s="123"/>
      <c r="B684" s="124"/>
    </row>
    <row r="685">
      <c r="A685" s="123"/>
      <c r="B685" s="124"/>
    </row>
    <row r="686">
      <c r="A686" s="123"/>
      <c r="B686" s="124"/>
    </row>
    <row r="687">
      <c r="A687" s="123"/>
      <c r="B687" s="124"/>
    </row>
    <row r="688">
      <c r="A688" s="123"/>
      <c r="B688" s="124"/>
    </row>
    <row r="689">
      <c r="A689" s="123"/>
      <c r="B689" s="124"/>
    </row>
    <row r="690">
      <c r="A690" s="123"/>
      <c r="B690" s="124"/>
    </row>
    <row r="691">
      <c r="A691" s="123"/>
      <c r="B691" s="124"/>
    </row>
    <row r="692">
      <c r="A692" s="123"/>
      <c r="B692" s="124"/>
    </row>
    <row r="693">
      <c r="A693" s="123"/>
      <c r="B693" s="124"/>
    </row>
    <row r="694">
      <c r="A694" s="123"/>
      <c r="B694" s="124"/>
    </row>
    <row r="695">
      <c r="A695" s="123"/>
      <c r="B695" s="124"/>
    </row>
    <row r="696">
      <c r="A696" s="123"/>
      <c r="B696" s="124"/>
    </row>
    <row r="697">
      <c r="A697" s="123"/>
      <c r="B697" s="124"/>
    </row>
    <row r="698">
      <c r="A698" s="123"/>
      <c r="B698" s="124"/>
    </row>
    <row r="699">
      <c r="A699" s="123"/>
      <c r="B699" s="124"/>
    </row>
    <row r="700">
      <c r="A700" s="123"/>
      <c r="B700" s="124"/>
    </row>
    <row r="701">
      <c r="A701" s="123"/>
      <c r="B701" s="124"/>
    </row>
    <row r="702">
      <c r="A702" s="123"/>
      <c r="B702" s="124"/>
    </row>
    <row r="703">
      <c r="A703" s="123"/>
      <c r="B703" s="124"/>
    </row>
    <row r="704">
      <c r="A704" s="123"/>
      <c r="B704" s="124"/>
    </row>
    <row r="705">
      <c r="A705" s="123"/>
      <c r="B705" s="124"/>
    </row>
    <row r="706">
      <c r="A706" s="123"/>
      <c r="B706" s="124"/>
    </row>
    <row r="707">
      <c r="A707" s="123"/>
      <c r="B707" s="124"/>
    </row>
    <row r="708">
      <c r="A708" s="123"/>
      <c r="B708" s="124"/>
    </row>
    <row r="709">
      <c r="A709" s="123"/>
      <c r="B709" s="124"/>
    </row>
    <row r="710">
      <c r="A710" s="123"/>
      <c r="B710" s="124"/>
    </row>
    <row r="711">
      <c r="A711" s="123"/>
      <c r="B711" s="124"/>
    </row>
    <row r="712">
      <c r="A712" s="123"/>
      <c r="B712" s="124"/>
    </row>
    <row r="713">
      <c r="A713" s="123"/>
      <c r="B713" s="124"/>
    </row>
    <row r="714">
      <c r="A714" s="123"/>
      <c r="B714" s="124"/>
    </row>
    <row r="715">
      <c r="A715" s="123"/>
      <c r="B715" s="124"/>
    </row>
    <row r="716">
      <c r="A716" s="123"/>
      <c r="B716" s="124"/>
    </row>
    <row r="717">
      <c r="A717" s="123"/>
      <c r="B717" s="124"/>
    </row>
    <row r="718">
      <c r="A718" s="123"/>
      <c r="B718" s="124"/>
    </row>
    <row r="719">
      <c r="A719" s="123"/>
      <c r="B719" s="124"/>
    </row>
    <row r="720">
      <c r="A720" s="123"/>
      <c r="B720" s="124"/>
    </row>
    <row r="721">
      <c r="A721" s="123"/>
      <c r="B721" s="124"/>
    </row>
    <row r="722">
      <c r="A722" s="123"/>
      <c r="B722" s="124"/>
    </row>
    <row r="723">
      <c r="A723" s="123"/>
      <c r="B723" s="124"/>
    </row>
    <row r="724">
      <c r="A724" s="123"/>
      <c r="B724" s="124"/>
    </row>
    <row r="725">
      <c r="A725" s="123"/>
      <c r="B725" s="124"/>
    </row>
    <row r="726">
      <c r="A726" s="123"/>
      <c r="B726" s="124"/>
    </row>
    <row r="727">
      <c r="A727" s="123"/>
      <c r="B727" s="124"/>
    </row>
    <row r="728">
      <c r="A728" s="123"/>
      <c r="B728" s="124"/>
    </row>
    <row r="729">
      <c r="A729" s="123"/>
      <c r="B729" s="124"/>
    </row>
    <row r="730">
      <c r="A730" s="123"/>
      <c r="B730" s="124"/>
    </row>
    <row r="731">
      <c r="A731" s="123"/>
      <c r="B731" s="124"/>
    </row>
    <row r="732">
      <c r="A732" s="123"/>
      <c r="B732" s="124"/>
    </row>
    <row r="733">
      <c r="A733" s="123"/>
      <c r="B733" s="124"/>
    </row>
    <row r="734">
      <c r="A734" s="123"/>
      <c r="B734" s="124"/>
    </row>
    <row r="735">
      <c r="A735" s="123"/>
      <c r="B735" s="124"/>
    </row>
    <row r="736">
      <c r="A736" s="123"/>
      <c r="B736" s="124"/>
    </row>
    <row r="737">
      <c r="A737" s="123"/>
      <c r="B737" s="124"/>
    </row>
    <row r="738">
      <c r="A738" s="123"/>
      <c r="B738" s="124"/>
    </row>
    <row r="739">
      <c r="A739" s="123"/>
      <c r="B739" s="124"/>
    </row>
    <row r="740">
      <c r="A740" s="123"/>
      <c r="B740" s="124"/>
    </row>
    <row r="741">
      <c r="A741" s="123"/>
      <c r="B741" s="124"/>
    </row>
    <row r="742">
      <c r="A742" s="123"/>
      <c r="B742" s="124"/>
    </row>
    <row r="743">
      <c r="A743" s="123"/>
      <c r="B743" s="124"/>
    </row>
    <row r="744">
      <c r="A744" s="123"/>
      <c r="B744" s="124"/>
    </row>
    <row r="745">
      <c r="A745" s="123"/>
      <c r="B745" s="124"/>
    </row>
    <row r="746">
      <c r="A746" s="123"/>
      <c r="B746" s="124"/>
    </row>
    <row r="747">
      <c r="A747" s="123"/>
      <c r="B747" s="124"/>
    </row>
    <row r="748">
      <c r="A748" s="123"/>
      <c r="B748" s="124"/>
    </row>
    <row r="749">
      <c r="A749" s="123"/>
      <c r="B749" s="124"/>
    </row>
    <row r="750">
      <c r="A750" s="123"/>
      <c r="B750" s="124"/>
    </row>
    <row r="751">
      <c r="A751" s="123"/>
      <c r="B751" s="124"/>
    </row>
    <row r="752">
      <c r="A752" s="123"/>
      <c r="B752" s="124"/>
    </row>
    <row r="753">
      <c r="A753" s="123"/>
      <c r="B753" s="124"/>
    </row>
    <row r="754">
      <c r="A754" s="123"/>
      <c r="B754" s="124"/>
    </row>
    <row r="755">
      <c r="A755" s="123"/>
      <c r="B755" s="124"/>
    </row>
    <row r="756">
      <c r="A756" s="123"/>
      <c r="B756" s="124"/>
    </row>
    <row r="757">
      <c r="A757" s="123"/>
      <c r="B757" s="124"/>
    </row>
    <row r="758">
      <c r="A758" s="123"/>
      <c r="B758" s="124"/>
    </row>
    <row r="759">
      <c r="A759" s="123"/>
      <c r="B759" s="124"/>
    </row>
    <row r="760">
      <c r="A760" s="123"/>
      <c r="B760" s="124"/>
    </row>
    <row r="761">
      <c r="A761" s="123"/>
      <c r="B761" s="124"/>
    </row>
    <row r="762">
      <c r="A762" s="123"/>
      <c r="B762" s="124"/>
    </row>
    <row r="763">
      <c r="A763" s="123"/>
      <c r="B763" s="124"/>
    </row>
    <row r="764">
      <c r="A764" s="123"/>
      <c r="B764" s="124"/>
    </row>
    <row r="765">
      <c r="A765" s="123"/>
      <c r="B765" s="124"/>
    </row>
    <row r="766">
      <c r="A766" s="123"/>
      <c r="B766" s="124"/>
    </row>
    <row r="767">
      <c r="A767" s="123"/>
      <c r="B767" s="124"/>
    </row>
    <row r="768">
      <c r="A768" s="123"/>
      <c r="B768" s="124"/>
    </row>
    <row r="769">
      <c r="A769" s="123"/>
      <c r="B769" s="124"/>
    </row>
    <row r="770">
      <c r="A770" s="123"/>
      <c r="B770" s="124"/>
    </row>
    <row r="771">
      <c r="A771" s="123"/>
      <c r="B771" s="124"/>
    </row>
    <row r="772">
      <c r="A772" s="123"/>
      <c r="B772" s="124"/>
    </row>
    <row r="773">
      <c r="A773" s="123"/>
      <c r="B773" s="124"/>
    </row>
    <row r="774">
      <c r="A774" s="123"/>
      <c r="B774" s="124"/>
    </row>
    <row r="775">
      <c r="A775" s="123"/>
      <c r="B775" s="124"/>
    </row>
    <row r="776">
      <c r="A776" s="123"/>
      <c r="B776" s="124"/>
    </row>
    <row r="777">
      <c r="A777" s="123"/>
      <c r="B777" s="124"/>
    </row>
    <row r="778">
      <c r="A778" s="123"/>
      <c r="B778" s="124"/>
    </row>
    <row r="779">
      <c r="A779" s="123"/>
      <c r="B779" s="124"/>
    </row>
    <row r="780">
      <c r="A780" s="123"/>
      <c r="B780" s="124"/>
    </row>
    <row r="781">
      <c r="A781" s="123"/>
      <c r="B781" s="124"/>
    </row>
    <row r="782">
      <c r="A782" s="123"/>
      <c r="B782" s="124"/>
    </row>
    <row r="783">
      <c r="A783" s="123"/>
      <c r="B783" s="124"/>
    </row>
    <row r="784">
      <c r="A784" s="123"/>
      <c r="B784" s="124"/>
    </row>
    <row r="785">
      <c r="A785" s="123"/>
      <c r="B785" s="124"/>
    </row>
    <row r="786">
      <c r="A786" s="123"/>
      <c r="B786" s="124"/>
    </row>
    <row r="787">
      <c r="A787" s="123"/>
      <c r="B787" s="124"/>
    </row>
    <row r="788">
      <c r="A788" s="123"/>
      <c r="B788" s="124"/>
    </row>
    <row r="789">
      <c r="A789" s="123"/>
      <c r="B789" s="124"/>
    </row>
    <row r="790">
      <c r="A790" s="123"/>
      <c r="B790" s="124"/>
    </row>
    <row r="791">
      <c r="A791" s="123"/>
      <c r="B791" s="124"/>
    </row>
    <row r="792">
      <c r="A792" s="123"/>
      <c r="B792" s="124"/>
    </row>
    <row r="793">
      <c r="A793" s="123"/>
      <c r="B793" s="124"/>
    </row>
    <row r="794">
      <c r="A794" s="123"/>
      <c r="B794" s="124"/>
    </row>
    <row r="795">
      <c r="A795" s="123"/>
      <c r="B795" s="124"/>
    </row>
    <row r="796">
      <c r="A796" s="123"/>
      <c r="B796" s="124"/>
    </row>
    <row r="797">
      <c r="A797" s="123"/>
      <c r="B797" s="124"/>
    </row>
    <row r="798">
      <c r="A798" s="123"/>
      <c r="B798" s="124"/>
    </row>
    <row r="799">
      <c r="A799" s="123"/>
      <c r="B799" s="124"/>
    </row>
    <row r="800">
      <c r="A800" s="123"/>
      <c r="B800" s="124"/>
    </row>
    <row r="801">
      <c r="A801" s="123"/>
      <c r="B801" s="124"/>
    </row>
    <row r="802">
      <c r="A802" s="123"/>
      <c r="B802" s="124"/>
    </row>
    <row r="803">
      <c r="A803" s="123"/>
      <c r="B803" s="124"/>
    </row>
    <row r="804">
      <c r="A804" s="123"/>
      <c r="B804" s="124"/>
    </row>
    <row r="805">
      <c r="A805" s="123"/>
      <c r="B805" s="124"/>
    </row>
    <row r="806">
      <c r="A806" s="123"/>
      <c r="B806" s="124"/>
    </row>
    <row r="807">
      <c r="A807" s="123"/>
      <c r="B807" s="124"/>
    </row>
    <row r="808">
      <c r="A808" s="123"/>
      <c r="B808" s="124"/>
    </row>
    <row r="809">
      <c r="A809" s="123"/>
      <c r="B809" s="124"/>
    </row>
    <row r="810">
      <c r="A810" s="123"/>
      <c r="B810" s="124"/>
    </row>
    <row r="811">
      <c r="A811" s="123"/>
      <c r="B811" s="124"/>
    </row>
    <row r="812">
      <c r="A812" s="123"/>
      <c r="B812" s="124"/>
    </row>
    <row r="813">
      <c r="A813" s="123"/>
      <c r="B813" s="124"/>
    </row>
    <row r="814">
      <c r="A814" s="123"/>
      <c r="B814" s="124"/>
    </row>
    <row r="815">
      <c r="A815" s="123"/>
      <c r="B815" s="124"/>
    </row>
    <row r="816">
      <c r="A816" s="123"/>
      <c r="B816" s="124"/>
    </row>
    <row r="817">
      <c r="A817" s="123"/>
      <c r="B817" s="124"/>
    </row>
    <row r="818">
      <c r="A818" s="123"/>
      <c r="B818" s="124"/>
    </row>
    <row r="819">
      <c r="A819" s="123"/>
      <c r="B819" s="124"/>
    </row>
    <row r="820">
      <c r="A820" s="123"/>
      <c r="B820" s="124"/>
    </row>
    <row r="821">
      <c r="A821" s="123"/>
      <c r="B821" s="124"/>
    </row>
    <row r="822">
      <c r="A822" s="123"/>
      <c r="B822" s="124"/>
    </row>
    <row r="823">
      <c r="A823" s="123"/>
      <c r="B823" s="124"/>
    </row>
    <row r="824">
      <c r="A824" s="123"/>
      <c r="B824" s="124"/>
    </row>
    <row r="825">
      <c r="A825" s="123"/>
      <c r="B825" s="124"/>
    </row>
    <row r="826">
      <c r="A826" s="123"/>
      <c r="B826" s="124"/>
    </row>
    <row r="827">
      <c r="A827" s="123"/>
      <c r="B827" s="124"/>
    </row>
    <row r="828">
      <c r="A828" s="123"/>
      <c r="B828" s="124"/>
    </row>
    <row r="829">
      <c r="A829" s="123"/>
      <c r="B829" s="124"/>
    </row>
    <row r="830">
      <c r="A830" s="123"/>
      <c r="B830" s="124"/>
    </row>
    <row r="831">
      <c r="A831" s="123"/>
      <c r="B831" s="124"/>
    </row>
    <row r="832">
      <c r="A832" s="123"/>
      <c r="B832" s="124"/>
    </row>
    <row r="833">
      <c r="A833" s="123"/>
      <c r="B833" s="124"/>
    </row>
    <row r="834">
      <c r="A834" s="123"/>
      <c r="B834" s="124"/>
    </row>
    <row r="835">
      <c r="A835" s="123"/>
      <c r="B835" s="124"/>
    </row>
    <row r="836">
      <c r="A836" s="123"/>
      <c r="B836" s="124"/>
    </row>
    <row r="837">
      <c r="A837" s="123"/>
      <c r="B837" s="124"/>
    </row>
    <row r="838">
      <c r="A838" s="123"/>
      <c r="B838" s="124"/>
    </row>
    <row r="839">
      <c r="A839" s="123"/>
      <c r="B839" s="124"/>
    </row>
    <row r="840">
      <c r="A840" s="123"/>
      <c r="B840" s="124"/>
    </row>
    <row r="841">
      <c r="A841" s="123"/>
      <c r="B841" s="124"/>
    </row>
    <row r="842">
      <c r="A842" s="123"/>
      <c r="B842" s="124"/>
    </row>
    <row r="843">
      <c r="A843" s="123"/>
      <c r="B843" s="124"/>
    </row>
    <row r="844">
      <c r="A844" s="123"/>
      <c r="B844" s="124"/>
    </row>
    <row r="845">
      <c r="A845" s="123"/>
      <c r="B845" s="124"/>
    </row>
    <row r="846">
      <c r="A846" s="123"/>
      <c r="B846" s="124"/>
    </row>
    <row r="847">
      <c r="A847" s="123"/>
      <c r="B847" s="124"/>
    </row>
    <row r="848">
      <c r="A848" s="123"/>
      <c r="B848" s="124"/>
    </row>
    <row r="849">
      <c r="A849" s="123"/>
      <c r="B849" s="124"/>
    </row>
    <row r="850">
      <c r="A850" s="123"/>
      <c r="B850" s="124"/>
    </row>
    <row r="851">
      <c r="A851" s="123"/>
      <c r="B851" s="124"/>
    </row>
    <row r="852">
      <c r="A852" s="123"/>
      <c r="B852" s="124"/>
    </row>
    <row r="853">
      <c r="A853" s="123"/>
      <c r="B853" s="124"/>
    </row>
    <row r="854">
      <c r="A854" s="123"/>
      <c r="B854" s="124"/>
    </row>
    <row r="855">
      <c r="A855" s="123"/>
      <c r="B855" s="124"/>
    </row>
    <row r="856">
      <c r="A856" s="123"/>
      <c r="B856" s="124"/>
    </row>
    <row r="857">
      <c r="A857" s="123"/>
      <c r="B857" s="124"/>
    </row>
    <row r="858">
      <c r="A858" s="123"/>
      <c r="B858" s="124"/>
    </row>
    <row r="859">
      <c r="A859" s="123"/>
      <c r="B859" s="124"/>
    </row>
    <row r="860">
      <c r="A860" s="123"/>
      <c r="B860" s="124"/>
    </row>
    <row r="861">
      <c r="A861" s="123"/>
      <c r="B861" s="124"/>
    </row>
    <row r="862">
      <c r="A862" s="123"/>
      <c r="B862" s="124"/>
    </row>
    <row r="863">
      <c r="A863" s="123"/>
      <c r="B863" s="124"/>
    </row>
    <row r="864">
      <c r="A864" s="123"/>
      <c r="B864" s="124"/>
    </row>
    <row r="865">
      <c r="A865" s="123"/>
      <c r="B865" s="124"/>
    </row>
    <row r="866">
      <c r="A866" s="123"/>
      <c r="B866" s="124"/>
    </row>
    <row r="867">
      <c r="A867" s="123"/>
      <c r="B867" s="124"/>
    </row>
    <row r="868">
      <c r="A868" s="123"/>
      <c r="B868" s="124"/>
    </row>
    <row r="869">
      <c r="A869" s="123"/>
      <c r="B869" s="124"/>
    </row>
    <row r="870">
      <c r="A870" s="123"/>
      <c r="B870" s="124"/>
    </row>
    <row r="871">
      <c r="A871" s="123"/>
      <c r="B871" s="124"/>
    </row>
    <row r="872">
      <c r="A872" s="123"/>
      <c r="B872" s="124"/>
    </row>
    <row r="873">
      <c r="A873" s="123"/>
      <c r="B873" s="124"/>
    </row>
    <row r="874">
      <c r="A874" s="123"/>
      <c r="B874" s="124"/>
    </row>
    <row r="875">
      <c r="A875" s="123"/>
      <c r="B875" s="124"/>
    </row>
    <row r="876">
      <c r="A876" s="123"/>
      <c r="B876" s="124"/>
    </row>
    <row r="877">
      <c r="A877" s="123"/>
      <c r="B877" s="124"/>
    </row>
    <row r="878">
      <c r="A878" s="123"/>
      <c r="B878" s="124"/>
    </row>
    <row r="879">
      <c r="A879" s="123"/>
      <c r="B879" s="124"/>
    </row>
    <row r="880">
      <c r="A880" s="123"/>
      <c r="B880" s="124"/>
    </row>
    <row r="881">
      <c r="A881" s="123"/>
      <c r="B881" s="124"/>
    </row>
    <row r="882">
      <c r="A882" s="123"/>
      <c r="B882" s="124"/>
    </row>
    <row r="883">
      <c r="A883" s="123"/>
      <c r="B883" s="124"/>
    </row>
    <row r="884">
      <c r="A884" s="123"/>
      <c r="B884" s="124"/>
    </row>
    <row r="885">
      <c r="A885" s="123"/>
      <c r="B885" s="124"/>
    </row>
    <row r="886">
      <c r="A886" s="123"/>
      <c r="B886" s="124"/>
    </row>
    <row r="887">
      <c r="A887" s="123"/>
      <c r="B887" s="124"/>
    </row>
    <row r="888">
      <c r="A888" s="123"/>
      <c r="B888" s="124"/>
    </row>
    <row r="889">
      <c r="A889" s="123"/>
      <c r="B889" s="124"/>
    </row>
    <row r="890">
      <c r="A890" s="123"/>
      <c r="B890" s="124"/>
    </row>
    <row r="891">
      <c r="A891" s="123"/>
      <c r="B891" s="124"/>
    </row>
    <row r="892">
      <c r="A892" s="123"/>
      <c r="B892" s="124"/>
    </row>
    <row r="893">
      <c r="A893" s="123"/>
      <c r="B893" s="124"/>
    </row>
    <row r="894">
      <c r="A894" s="123"/>
      <c r="B894" s="124"/>
    </row>
    <row r="895">
      <c r="A895" s="123"/>
      <c r="B895" s="124"/>
    </row>
    <row r="896">
      <c r="A896" s="123"/>
      <c r="B896" s="124"/>
    </row>
    <row r="897">
      <c r="A897" s="123"/>
      <c r="B897" s="124"/>
    </row>
    <row r="898">
      <c r="A898" s="123"/>
      <c r="B898" s="124"/>
    </row>
    <row r="899">
      <c r="A899" s="123"/>
      <c r="B899" s="124"/>
    </row>
    <row r="900">
      <c r="A900" s="123"/>
      <c r="B900" s="124"/>
    </row>
    <row r="901">
      <c r="A901" s="123"/>
      <c r="B901" s="124"/>
    </row>
    <row r="902">
      <c r="A902" s="123"/>
      <c r="B902" s="124"/>
    </row>
    <row r="903">
      <c r="A903" s="123"/>
      <c r="B903" s="124"/>
    </row>
    <row r="904">
      <c r="A904" s="123"/>
      <c r="B904" s="124"/>
    </row>
    <row r="905">
      <c r="A905" s="123"/>
      <c r="B905" s="124"/>
    </row>
    <row r="906">
      <c r="A906" s="123"/>
      <c r="B906" s="124"/>
    </row>
    <row r="907">
      <c r="A907" s="123"/>
      <c r="B907" s="124"/>
    </row>
    <row r="908">
      <c r="A908" s="123"/>
      <c r="B908" s="124"/>
    </row>
    <row r="909">
      <c r="A909" s="123"/>
      <c r="B909" s="124"/>
    </row>
    <row r="910">
      <c r="A910" s="123"/>
      <c r="B910" s="124"/>
    </row>
    <row r="911">
      <c r="A911" s="123"/>
      <c r="B911" s="124"/>
    </row>
    <row r="912">
      <c r="A912" s="123"/>
      <c r="B912" s="124"/>
    </row>
    <row r="913">
      <c r="A913" s="123"/>
      <c r="B913" s="124"/>
    </row>
    <row r="914">
      <c r="A914" s="123"/>
      <c r="B914" s="124"/>
    </row>
    <row r="915">
      <c r="A915" s="123"/>
      <c r="B915" s="124"/>
    </row>
    <row r="916">
      <c r="A916" s="123"/>
      <c r="B916" s="124"/>
    </row>
    <row r="917">
      <c r="A917" s="123"/>
      <c r="B917" s="124"/>
    </row>
    <row r="918">
      <c r="A918" s="123"/>
      <c r="B918" s="124"/>
    </row>
    <row r="919">
      <c r="A919" s="123"/>
      <c r="B919" s="124"/>
    </row>
    <row r="920">
      <c r="A920" s="123"/>
      <c r="B920" s="124"/>
    </row>
    <row r="921">
      <c r="A921" s="123"/>
      <c r="B921" s="124"/>
    </row>
    <row r="922">
      <c r="A922" s="123"/>
      <c r="B922" s="124"/>
    </row>
    <row r="923">
      <c r="A923" s="123"/>
      <c r="B923" s="124"/>
    </row>
    <row r="924">
      <c r="A924" s="123"/>
      <c r="B924" s="124"/>
    </row>
    <row r="925">
      <c r="A925" s="123"/>
      <c r="B925" s="124"/>
    </row>
    <row r="926">
      <c r="A926" s="123"/>
      <c r="B926" s="124"/>
    </row>
    <row r="927">
      <c r="A927" s="123"/>
      <c r="B927" s="124"/>
    </row>
    <row r="928">
      <c r="A928" s="123"/>
      <c r="B928" s="124"/>
    </row>
    <row r="929">
      <c r="A929" s="123"/>
      <c r="B929" s="124"/>
    </row>
    <row r="930">
      <c r="A930" s="123"/>
      <c r="B930" s="124"/>
    </row>
    <row r="931">
      <c r="A931" s="123"/>
      <c r="B931" s="124"/>
    </row>
    <row r="932">
      <c r="A932" s="123"/>
      <c r="B932" s="124"/>
    </row>
    <row r="933">
      <c r="A933" s="123"/>
      <c r="B933" s="124"/>
    </row>
    <row r="934">
      <c r="A934" s="123"/>
      <c r="B934" s="124"/>
    </row>
    <row r="935">
      <c r="A935" s="123"/>
      <c r="B935" s="124"/>
    </row>
    <row r="936">
      <c r="A936" s="123"/>
      <c r="B936" s="124"/>
    </row>
    <row r="937">
      <c r="A937" s="123"/>
      <c r="B937" s="124"/>
    </row>
    <row r="938">
      <c r="A938" s="123"/>
      <c r="B938" s="124"/>
    </row>
    <row r="939">
      <c r="A939" s="123"/>
      <c r="B939" s="124"/>
    </row>
    <row r="940">
      <c r="A940" s="123"/>
      <c r="B940" s="124"/>
    </row>
    <row r="941">
      <c r="A941" s="123"/>
      <c r="B941" s="124"/>
    </row>
    <row r="942">
      <c r="A942" s="123"/>
      <c r="B942" s="124"/>
    </row>
    <row r="943">
      <c r="A943" s="123"/>
      <c r="B943" s="124"/>
    </row>
    <row r="944">
      <c r="A944" s="123"/>
      <c r="B944" s="124"/>
    </row>
    <row r="945">
      <c r="A945" s="123"/>
      <c r="B945" s="124"/>
    </row>
    <row r="946">
      <c r="A946" s="123"/>
      <c r="B946" s="124"/>
    </row>
    <row r="947">
      <c r="A947" s="123"/>
      <c r="B947" s="124"/>
    </row>
    <row r="948">
      <c r="A948" s="123"/>
      <c r="B948" s="124"/>
    </row>
    <row r="949">
      <c r="A949" s="123"/>
      <c r="B949" s="124"/>
    </row>
    <row r="950">
      <c r="A950" s="123"/>
      <c r="B950" s="124"/>
    </row>
    <row r="951">
      <c r="A951" s="123"/>
      <c r="B951" s="124"/>
    </row>
    <row r="952">
      <c r="A952" s="123"/>
      <c r="B952" s="124"/>
    </row>
    <row r="953">
      <c r="A953" s="123"/>
      <c r="B953" s="124"/>
    </row>
    <row r="954">
      <c r="A954" s="123"/>
      <c r="B954" s="124"/>
    </row>
    <row r="955">
      <c r="A955" s="123"/>
      <c r="B955" s="124"/>
    </row>
    <row r="956">
      <c r="A956" s="123"/>
      <c r="B956" s="124"/>
    </row>
    <row r="957">
      <c r="A957" s="123"/>
      <c r="B957" s="124"/>
    </row>
    <row r="958">
      <c r="A958" s="123"/>
      <c r="B958" s="124"/>
    </row>
    <row r="959">
      <c r="A959" s="123"/>
      <c r="B959" s="124"/>
    </row>
    <row r="960">
      <c r="A960" s="123"/>
      <c r="B960" s="124"/>
    </row>
    <row r="961">
      <c r="A961" s="123"/>
      <c r="B961" s="124"/>
    </row>
    <row r="962">
      <c r="A962" s="123"/>
      <c r="B962" s="124"/>
    </row>
    <row r="963">
      <c r="A963" s="123"/>
      <c r="B963" s="124"/>
    </row>
    <row r="964">
      <c r="A964" s="123"/>
      <c r="B964" s="124"/>
    </row>
    <row r="965">
      <c r="A965" s="123"/>
      <c r="B965" s="124"/>
    </row>
    <row r="966">
      <c r="A966" s="123"/>
      <c r="B966" s="124"/>
    </row>
    <row r="967">
      <c r="A967" s="123"/>
      <c r="B967" s="124"/>
    </row>
    <row r="968">
      <c r="A968" s="123"/>
      <c r="B968" s="124"/>
    </row>
    <row r="969">
      <c r="A969" s="123"/>
      <c r="B969" s="124"/>
    </row>
    <row r="970">
      <c r="A970" s="123"/>
      <c r="B970" s="124"/>
    </row>
    <row r="971">
      <c r="A971" s="123"/>
      <c r="B971" s="124"/>
    </row>
    <row r="972">
      <c r="A972" s="123"/>
      <c r="B972" s="124"/>
    </row>
    <row r="973">
      <c r="A973" s="123"/>
      <c r="B973" s="124"/>
    </row>
    <row r="974">
      <c r="A974" s="123"/>
      <c r="B974" s="124"/>
    </row>
    <row r="975">
      <c r="A975" s="123"/>
      <c r="B975" s="124"/>
    </row>
    <row r="976">
      <c r="A976" s="123"/>
      <c r="B976" s="124"/>
    </row>
    <row r="977">
      <c r="A977" s="123"/>
      <c r="B977" s="124"/>
    </row>
    <row r="978">
      <c r="A978" s="123"/>
      <c r="B978" s="124"/>
    </row>
    <row r="979">
      <c r="A979" s="123"/>
      <c r="B979" s="124"/>
    </row>
    <row r="980">
      <c r="A980" s="123"/>
      <c r="B980" s="124"/>
    </row>
  </sheetData>
  <mergeCells count="1">
    <mergeCell ref="A7:B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5"/>
    <col customWidth="1" min="2" max="2" width="24.88"/>
    <col customWidth="1" min="3" max="3" width="8.63"/>
    <col customWidth="1" min="4" max="4" width="99.25"/>
    <col customWidth="1" min="5" max="5" width="22.25"/>
    <col customWidth="1" min="6" max="6" width="9.25"/>
    <col customWidth="1" min="7" max="7" width="7.38"/>
    <col customWidth="1" min="8" max="8" width="8.25"/>
    <col customWidth="1" min="9" max="9" width="53.13"/>
    <col customWidth="1" min="10" max="10" width="10.63"/>
    <col customWidth="1" min="11" max="11" width="9.75"/>
    <col customWidth="1" min="12" max="12" width="98.13"/>
    <col customWidth="1" min="13" max="13" width="23.38"/>
    <col customWidth="1" min="14" max="14" width="16.25"/>
    <col customWidth="1" min="15" max="15" width="51.63"/>
    <col customWidth="1" min="16" max="16" width="17.25"/>
    <col customWidth="1" min="18" max="18" width="9.63"/>
  </cols>
  <sheetData>
    <row r="1">
      <c r="A1" s="126" t="s">
        <v>283</v>
      </c>
      <c r="F1" s="127"/>
      <c r="G1" s="127"/>
      <c r="H1" s="128"/>
    </row>
    <row r="2">
      <c r="B2" s="119"/>
      <c r="K2" s="124"/>
    </row>
    <row r="3">
      <c r="A3" s="33" t="s">
        <v>79</v>
      </c>
      <c r="B3" s="129" t="s">
        <v>284</v>
      </c>
      <c r="C3" s="100" t="s">
        <v>16</v>
      </c>
      <c r="D3" s="100" t="s">
        <v>81</v>
      </c>
      <c r="E3" s="100" t="s">
        <v>285</v>
      </c>
      <c r="H3" s="130"/>
      <c r="I3" s="131"/>
      <c r="J3" s="130"/>
      <c r="K3" s="88"/>
      <c r="L3" s="130"/>
      <c r="M3" s="130"/>
    </row>
    <row r="4">
      <c r="A4" s="132">
        <f t="shared" ref="A4:A7" si="1">IF(B4&lt;&gt;"", COUNTA($B$4:B4), "")</f>
        <v>1</v>
      </c>
      <c r="B4" s="129" t="s">
        <v>286</v>
      </c>
      <c r="C4" s="133">
        <f t="shared" ref="C4:C40" si="2">IF(A4&lt;38, ROUND(100/38,2), 100-SUM(C$4:C41))</f>
        <v>2.63</v>
      </c>
      <c r="D4" s="134" t="s">
        <v>287</v>
      </c>
      <c r="E4" s="134" t="s">
        <v>288</v>
      </c>
      <c r="H4" s="135"/>
      <c r="I4" s="131"/>
      <c r="J4" s="136"/>
      <c r="K4" s="137"/>
      <c r="L4" s="135"/>
      <c r="M4" s="135"/>
    </row>
    <row r="5">
      <c r="A5" s="132">
        <f t="shared" si="1"/>
        <v>2</v>
      </c>
      <c r="B5" s="129" t="s">
        <v>289</v>
      </c>
      <c r="C5" s="133">
        <f t="shared" si="2"/>
        <v>2.63</v>
      </c>
      <c r="D5" s="134" t="s">
        <v>290</v>
      </c>
      <c r="E5" s="134" t="s">
        <v>288</v>
      </c>
      <c r="H5" s="135"/>
      <c r="I5" s="131"/>
      <c r="J5" s="136"/>
      <c r="K5" s="137"/>
      <c r="L5" s="135"/>
      <c r="M5" s="135"/>
    </row>
    <row r="6">
      <c r="A6" s="132">
        <f t="shared" si="1"/>
        <v>3</v>
      </c>
      <c r="B6" s="129" t="s">
        <v>291</v>
      </c>
      <c r="C6" s="133">
        <f t="shared" si="2"/>
        <v>2.63</v>
      </c>
      <c r="D6" s="134" t="s">
        <v>292</v>
      </c>
      <c r="E6" s="134" t="s">
        <v>293</v>
      </c>
      <c r="H6" s="135"/>
      <c r="I6" s="131"/>
      <c r="J6" s="136"/>
      <c r="K6" s="137"/>
      <c r="L6" s="135"/>
      <c r="M6" s="135"/>
    </row>
    <row r="7">
      <c r="A7" s="132">
        <f t="shared" si="1"/>
        <v>4</v>
      </c>
      <c r="B7" s="129" t="s">
        <v>294</v>
      </c>
      <c r="C7" s="133">
        <f t="shared" si="2"/>
        <v>2.63</v>
      </c>
      <c r="D7" s="134" t="s">
        <v>295</v>
      </c>
      <c r="E7" s="134" t="s">
        <v>288</v>
      </c>
      <c r="H7" s="135"/>
      <c r="I7" s="131"/>
      <c r="J7" s="136"/>
      <c r="K7" s="137"/>
      <c r="L7" s="135"/>
      <c r="M7" s="135"/>
    </row>
    <row r="8" ht="29.25" customHeight="1">
      <c r="A8" s="132">
        <v>5.0</v>
      </c>
      <c r="B8" s="129" t="s">
        <v>296</v>
      </c>
      <c r="C8" s="133">
        <f t="shared" si="2"/>
        <v>2.63</v>
      </c>
      <c r="D8" s="134" t="s">
        <v>297</v>
      </c>
      <c r="E8" s="134" t="s">
        <v>288</v>
      </c>
      <c r="H8" s="135"/>
      <c r="I8" s="131"/>
      <c r="J8" s="136"/>
      <c r="K8" s="137"/>
      <c r="L8" s="135"/>
      <c r="M8" s="135"/>
    </row>
    <row r="9">
      <c r="A9" s="132">
        <f t="shared" ref="A9:A41" si="3">IF(B9&lt;&gt;"", COUNTA($B$4:B9), "")</f>
        <v>6</v>
      </c>
      <c r="B9" s="129" t="s">
        <v>298</v>
      </c>
      <c r="C9" s="133">
        <f t="shared" si="2"/>
        <v>2.63</v>
      </c>
      <c r="D9" s="134" t="s">
        <v>228</v>
      </c>
      <c r="E9" s="134" t="s">
        <v>299</v>
      </c>
      <c r="H9" s="135"/>
      <c r="I9" s="131"/>
      <c r="J9" s="136"/>
      <c r="K9" s="137"/>
      <c r="L9" s="135"/>
      <c r="M9" s="135"/>
    </row>
    <row r="10" ht="31.5" customHeight="1">
      <c r="A10" s="132">
        <f t="shared" si="3"/>
        <v>7</v>
      </c>
      <c r="B10" s="129" t="s">
        <v>300</v>
      </c>
      <c r="C10" s="133">
        <f t="shared" si="2"/>
        <v>2.63</v>
      </c>
      <c r="D10" s="134" t="s">
        <v>301</v>
      </c>
      <c r="E10" s="134" t="s">
        <v>293</v>
      </c>
      <c r="H10" s="135"/>
      <c r="I10" s="131"/>
      <c r="J10" s="136"/>
      <c r="K10" s="137"/>
      <c r="L10" s="135"/>
      <c r="M10" s="135"/>
    </row>
    <row r="11" ht="33.0" customHeight="1">
      <c r="A11" s="132">
        <f t="shared" si="3"/>
        <v>8</v>
      </c>
      <c r="B11" s="129" t="s">
        <v>302</v>
      </c>
      <c r="C11" s="133">
        <f t="shared" si="2"/>
        <v>2.63</v>
      </c>
      <c r="D11" s="134" t="s">
        <v>303</v>
      </c>
      <c r="E11" s="134" t="s">
        <v>299</v>
      </c>
      <c r="H11" s="135"/>
      <c r="I11" s="131"/>
      <c r="J11" s="136"/>
      <c r="K11" s="137"/>
      <c r="L11" s="135"/>
      <c r="M11" s="135"/>
    </row>
    <row r="12" ht="50.25" customHeight="1">
      <c r="A12" s="132">
        <f t="shared" si="3"/>
        <v>9</v>
      </c>
      <c r="B12" s="129" t="s">
        <v>304</v>
      </c>
      <c r="C12" s="133">
        <f t="shared" si="2"/>
        <v>2.63</v>
      </c>
      <c r="D12" s="134" t="s">
        <v>305</v>
      </c>
      <c r="E12" s="134" t="s">
        <v>293</v>
      </c>
      <c r="H12" s="135"/>
      <c r="I12" s="131"/>
      <c r="J12" s="136"/>
      <c r="K12" s="137"/>
      <c r="L12" s="135"/>
      <c r="M12" s="135"/>
    </row>
    <row r="13">
      <c r="A13" s="132">
        <f t="shared" si="3"/>
        <v>10</v>
      </c>
      <c r="B13" s="129" t="s">
        <v>306</v>
      </c>
      <c r="C13" s="133">
        <f t="shared" si="2"/>
        <v>2.63</v>
      </c>
      <c r="D13" s="134" t="s">
        <v>307</v>
      </c>
      <c r="E13" s="134" t="s">
        <v>293</v>
      </c>
      <c r="H13" s="135"/>
      <c r="I13" s="131"/>
      <c r="J13" s="136"/>
      <c r="K13" s="137"/>
      <c r="L13" s="135"/>
      <c r="M13" s="135"/>
    </row>
    <row r="14">
      <c r="A14" s="132">
        <f t="shared" si="3"/>
        <v>11</v>
      </c>
      <c r="B14" s="129" t="s">
        <v>308</v>
      </c>
      <c r="C14" s="133">
        <f t="shared" si="2"/>
        <v>2.63</v>
      </c>
      <c r="D14" s="134" t="s">
        <v>309</v>
      </c>
      <c r="E14" s="134" t="s">
        <v>288</v>
      </c>
      <c r="H14" s="135"/>
      <c r="I14" s="131"/>
      <c r="J14" s="136"/>
      <c r="K14" s="137"/>
      <c r="L14" s="135"/>
      <c r="M14" s="135"/>
    </row>
    <row r="15" ht="33.0" customHeight="1">
      <c r="A15" s="132">
        <f t="shared" si="3"/>
        <v>12</v>
      </c>
      <c r="B15" s="129" t="s">
        <v>310</v>
      </c>
      <c r="C15" s="133">
        <f t="shared" si="2"/>
        <v>2.63</v>
      </c>
      <c r="D15" s="134" t="s">
        <v>311</v>
      </c>
      <c r="E15" s="134" t="s">
        <v>288</v>
      </c>
      <c r="H15" s="135"/>
      <c r="I15" s="131"/>
      <c r="J15" s="136"/>
      <c r="K15" s="137"/>
      <c r="L15" s="135"/>
      <c r="M15" s="135"/>
    </row>
    <row r="16" ht="45.75" customHeight="1">
      <c r="A16" s="132">
        <f t="shared" si="3"/>
        <v>13</v>
      </c>
      <c r="B16" s="138" t="s">
        <v>312</v>
      </c>
      <c r="C16" s="133">
        <f t="shared" si="2"/>
        <v>2.63</v>
      </c>
      <c r="D16" s="134" t="s">
        <v>311</v>
      </c>
      <c r="E16" s="134" t="s">
        <v>288</v>
      </c>
      <c r="H16" s="135"/>
      <c r="I16" s="131"/>
      <c r="J16" s="136"/>
      <c r="K16" s="137"/>
      <c r="L16" s="137"/>
      <c r="M16" s="135"/>
    </row>
    <row r="17" ht="33.0" customHeight="1">
      <c r="A17" s="132">
        <f t="shared" si="3"/>
        <v>14</v>
      </c>
      <c r="B17" s="138" t="s">
        <v>313</v>
      </c>
      <c r="C17" s="133">
        <f t="shared" si="2"/>
        <v>2.63</v>
      </c>
      <c r="D17" s="134" t="s">
        <v>314</v>
      </c>
      <c r="E17" s="134" t="s">
        <v>288</v>
      </c>
      <c r="H17" s="135"/>
      <c r="I17" s="131"/>
      <c r="J17" s="136"/>
      <c r="K17" s="137"/>
      <c r="L17" s="135"/>
      <c r="M17" s="135"/>
    </row>
    <row r="18">
      <c r="A18" s="132">
        <f t="shared" si="3"/>
        <v>15</v>
      </c>
      <c r="B18" s="129" t="s">
        <v>315</v>
      </c>
      <c r="C18" s="133">
        <f t="shared" si="2"/>
        <v>2.63</v>
      </c>
      <c r="D18" s="134" t="s">
        <v>316</v>
      </c>
      <c r="E18" s="134" t="s">
        <v>293</v>
      </c>
      <c r="H18" s="135"/>
      <c r="I18" s="131"/>
      <c r="J18" s="136"/>
      <c r="K18" s="137"/>
      <c r="L18" s="135"/>
      <c r="M18" s="135"/>
    </row>
    <row r="19" ht="45.0" customHeight="1">
      <c r="A19" s="132">
        <f t="shared" si="3"/>
        <v>16</v>
      </c>
      <c r="B19" s="129" t="s">
        <v>317</v>
      </c>
      <c r="C19" s="133">
        <f t="shared" si="2"/>
        <v>2.63</v>
      </c>
      <c r="D19" s="134" t="s">
        <v>318</v>
      </c>
      <c r="E19" s="134" t="s">
        <v>288</v>
      </c>
      <c r="H19" s="135"/>
      <c r="I19" s="131"/>
      <c r="J19" s="136"/>
      <c r="K19" s="137"/>
      <c r="L19" s="135"/>
      <c r="M19" s="135"/>
    </row>
    <row r="20">
      <c r="A20" s="132">
        <f t="shared" si="3"/>
        <v>17</v>
      </c>
      <c r="B20" s="129" t="s">
        <v>319</v>
      </c>
      <c r="C20" s="133">
        <f t="shared" si="2"/>
        <v>2.63</v>
      </c>
      <c r="D20" s="134" t="s">
        <v>320</v>
      </c>
      <c r="E20" s="134" t="s">
        <v>299</v>
      </c>
      <c r="H20" s="135"/>
      <c r="I20" s="131"/>
      <c r="J20" s="136"/>
      <c r="K20" s="137"/>
      <c r="L20" s="135"/>
      <c r="M20" s="135"/>
    </row>
    <row r="21">
      <c r="A21" s="132">
        <f t="shared" si="3"/>
        <v>18</v>
      </c>
      <c r="B21" s="129" t="s">
        <v>321</v>
      </c>
      <c r="C21" s="133">
        <f t="shared" si="2"/>
        <v>2.63</v>
      </c>
      <c r="D21" s="134" t="s">
        <v>322</v>
      </c>
      <c r="E21" s="134" t="s">
        <v>288</v>
      </c>
      <c r="H21" s="135"/>
      <c r="I21" s="131"/>
      <c r="J21" s="136"/>
      <c r="K21" s="137"/>
      <c r="L21" s="135"/>
      <c r="M21" s="135"/>
    </row>
    <row r="22" ht="26.25" customHeight="1">
      <c r="A22" s="132">
        <f t="shared" si="3"/>
        <v>19</v>
      </c>
      <c r="B22" s="138" t="s">
        <v>323</v>
      </c>
      <c r="C22" s="133">
        <f t="shared" si="2"/>
        <v>2.63</v>
      </c>
      <c r="D22" s="134" t="s">
        <v>295</v>
      </c>
      <c r="E22" s="134" t="s">
        <v>288</v>
      </c>
      <c r="H22" s="135"/>
      <c r="I22" s="131"/>
      <c r="J22" s="136"/>
      <c r="K22" s="137"/>
      <c r="L22" s="135"/>
      <c r="M22" s="135"/>
    </row>
    <row r="23">
      <c r="A23" s="132">
        <f t="shared" si="3"/>
        <v>20</v>
      </c>
      <c r="B23" s="129" t="s">
        <v>324</v>
      </c>
      <c r="C23" s="133">
        <f t="shared" si="2"/>
        <v>2.63</v>
      </c>
      <c r="D23" s="134" t="s">
        <v>325</v>
      </c>
      <c r="E23" s="134" t="s">
        <v>293</v>
      </c>
      <c r="H23" s="135"/>
      <c r="I23" s="131"/>
      <c r="J23" s="136"/>
      <c r="K23" s="137"/>
      <c r="L23" s="135"/>
      <c r="M23" s="135"/>
    </row>
    <row r="24">
      <c r="A24" s="132">
        <f t="shared" si="3"/>
        <v>21</v>
      </c>
      <c r="B24" s="138" t="s">
        <v>326</v>
      </c>
      <c r="C24" s="133">
        <f t="shared" si="2"/>
        <v>2.63</v>
      </c>
      <c r="D24" s="134" t="s">
        <v>327</v>
      </c>
      <c r="E24" s="134" t="s">
        <v>288</v>
      </c>
      <c r="H24" s="135"/>
      <c r="I24" s="131"/>
      <c r="J24" s="136"/>
      <c r="K24" s="137"/>
      <c r="L24" s="135"/>
      <c r="M24" s="135"/>
    </row>
    <row r="25">
      <c r="A25" s="132">
        <f t="shared" si="3"/>
        <v>22</v>
      </c>
      <c r="B25" s="129" t="s">
        <v>328</v>
      </c>
      <c r="C25" s="133">
        <f t="shared" si="2"/>
        <v>2.63</v>
      </c>
      <c r="D25" s="134" t="s">
        <v>329</v>
      </c>
      <c r="E25" s="134" t="s">
        <v>288</v>
      </c>
    </row>
    <row r="26">
      <c r="A26" s="132">
        <f t="shared" si="3"/>
        <v>23</v>
      </c>
      <c r="B26" s="129" t="s">
        <v>330</v>
      </c>
      <c r="C26" s="133">
        <f t="shared" si="2"/>
        <v>2.63</v>
      </c>
      <c r="D26" s="134" t="s">
        <v>331</v>
      </c>
      <c r="E26" s="134" t="s">
        <v>299</v>
      </c>
    </row>
    <row r="27">
      <c r="A27" s="132">
        <f t="shared" si="3"/>
        <v>24</v>
      </c>
      <c r="B27" s="129" t="s">
        <v>332</v>
      </c>
      <c r="C27" s="133">
        <f t="shared" si="2"/>
        <v>2.63</v>
      </c>
      <c r="D27" s="134" t="s">
        <v>333</v>
      </c>
      <c r="E27" s="134" t="s">
        <v>299</v>
      </c>
    </row>
    <row r="28">
      <c r="A28" s="132">
        <f t="shared" si="3"/>
        <v>25</v>
      </c>
      <c r="B28" s="129" t="s">
        <v>334</v>
      </c>
      <c r="C28" s="133">
        <f t="shared" si="2"/>
        <v>2.63</v>
      </c>
      <c r="D28" s="134" t="s">
        <v>335</v>
      </c>
      <c r="E28" s="134" t="s">
        <v>288</v>
      </c>
    </row>
    <row r="29">
      <c r="A29" s="132">
        <f t="shared" si="3"/>
        <v>26</v>
      </c>
      <c r="B29" s="129" t="s">
        <v>336</v>
      </c>
      <c r="C29" s="133">
        <f t="shared" si="2"/>
        <v>2.63</v>
      </c>
      <c r="D29" s="134" t="s">
        <v>337</v>
      </c>
      <c r="E29" s="134" t="s">
        <v>288</v>
      </c>
      <c r="I29" s="135"/>
      <c r="J29" s="131"/>
      <c r="K29" s="136"/>
      <c r="L29" s="137"/>
      <c r="M29" s="135"/>
      <c r="N29" s="139"/>
    </row>
    <row r="30" ht="45.0" customHeight="1">
      <c r="A30" s="132">
        <f t="shared" si="3"/>
        <v>27</v>
      </c>
      <c r="B30" s="129" t="s">
        <v>338</v>
      </c>
      <c r="C30" s="133">
        <f t="shared" si="2"/>
        <v>2.63</v>
      </c>
      <c r="D30" s="140" t="s">
        <v>339</v>
      </c>
      <c r="E30" s="134" t="s">
        <v>299</v>
      </c>
    </row>
    <row r="31">
      <c r="A31" s="132">
        <f t="shared" si="3"/>
        <v>28</v>
      </c>
      <c r="B31" s="129" t="s">
        <v>340</v>
      </c>
      <c r="C31" s="133">
        <f t="shared" si="2"/>
        <v>2.63</v>
      </c>
      <c r="D31" s="134" t="s">
        <v>341</v>
      </c>
      <c r="E31" s="134" t="s">
        <v>288</v>
      </c>
    </row>
    <row r="32">
      <c r="A32" s="132">
        <f t="shared" si="3"/>
        <v>29</v>
      </c>
      <c r="B32" s="129" t="s">
        <v>342</v>
      </c>
      <c r="C32" s="133">
        <f t="shared" si="2"/>
        <v>2.63</v>
      </c>
      <c r="D32" s="134" t="s">
        <v>343</v>
      </c>
      <c r="E32" s="134" t="s">
        <v>299</v>
      </c>
    </row>
    <row r="33">
      <c r="A33" s="132">
        <f t="shared" si="3"/>
        <v>30</v>
      </c>
      <c r="B33" s="129" t="s">
        <v>344</v>
      </c>
      <c r="C33" s="133">
        <f t="shared" si="2"/>
        <v>2.63</v>
      </c>
      <c r="D33" s="134" t="s">
        <v>345</v>
      </c>
      <c r="E33" s="134" t="s">
        <v>293</v>
      </c>
    </row>
    <row r="34">
      <c r="A34" s="132">
        <f t="shared" si="3"/>
        <v>31</v>
      </c>
      <c r="B34" s="129" t="s">
        <v>346</v>
      </c>
      <c r="C34" s="133">
        <f t="shared" si="2"/>
        <v>2.63</v>
      </c>
      <c r="D34" s="134" t="s">
        <v>347</v>
      </c>
      <c r="E34" s="134" t="s">
        <v>288</v>
      </c>
    </row>
    <row r="35">
      <c r="A35" s="132">
        <f t="shared" si="3"/>
        <v>32</v>
      </c>
      <c r="B35" s="129" t="s">
        <v>348</v>
      </c>
      <c r="C35" s="133">
        <f t="shared" si="2"/>
        <v>2.63</v>
      </c>
      <c r="D35" s="134" t="s">
        <v>349</v>
      </c>
      <c r="E35" s="134" t="s">
        <v>288</v>
      </c>
    </row>
    <row r="36" ht="17.25" customHeight="1">
      <c r="A36" s="132">
        <f t="shared" si="3"/>
        <v>33</v>
      </c>
      <c r="B36" s="129" t="s">
        <v>350</v>
      </c>
      <c r="C36" s="133">
        <f t="shared" si="2"/>
        <v>2.63</v>
      </c>
      <c r="D36" s="134" t="s">
        <v>351</v>
      </c>
      <c r="E36" s="134" t="s">
        <v>288</v>
      </c>
    </row>
    <row r="37">
      <c r="A37" s="132">
        <f t="shared" si="3"/>
        <v>34</v>
      </c>
      <c r="B37" s="129" t="s">
        <v>352</v>
      </c>
      <c r="C37" s="133">
        <f t="shared" si="2"/>
        <v>2.63</v>
      </c>
      <c r="D37" s="134" t="s">
        <v>353</v>
      </c>
      <c r="E37" s="134" t="s">
        <v>293</v>
      </c>
    </row>
    <row r="38">
      <c r="A38" s="132">
        <f t="shared" si="3"/>
        <v>35</v>
      </c>
      <c r="B38" s="129" t="s">
        <v>354</v>
      </c>
      <c r="C38" s="133">
        <f t="shared" si="2"/>
        <v>2.63</v>
      </c>
      <c r="D38" s="134" t="s">
        <v>355</v>
      </c>
      <c r="E38" s="134" t="s">
        <v>288</v>
      </c>
    </row>
    <row r="39">
      <c r="A39" s="132">
        <f t="shared" si="3"/>
        <v>36</v>
      </c>
      <c r="B39" s="129" t="s">
        <v>356</v>
      </c>
      <c r="C39" s="133">
        <f t="shared" si="2"/>
        <v>2.63</v>
      </c>
      <c r="D39" s="134" t="s">
        <v>357</v>
      </c>
      <c r="E39" s="134" t="s">
        <v>288</v>
      </c>
      <c r="S39" s="124"/>
    </row>
    <row r="40">
      <c r="A40" s="132">
        <f t="shared" si="3"/>
        <v>37</v>
      </c>
      <c r="B40" s="129" t="s">
        <v>358</v>
      </c>
      <c r="C40" s="133">
        <f t="shared" si="2"/>
        <v>2.63</v>
      </c>
      <c r="D40" s="134" t="s">
        <v>359</v>
      </c>
      <c r="E40" s="134" t="s">
        <v>288</v>
      </c>
      <c r="S40" s="124"/>
    </row>
    <row r="41">
      <c r="A41" s="132">
        <f t="shared" si="3"/>
        <v>38</v>
      </c>
      <c r="B41" s="129" t="s">
        <v>360</v>
      </c>
      <c r="C41" s="133">
        <f>IF(A41&lt;=38, ROUND(100/38,2), 100-SUM(C$4:C78))</f>
        <v>2.63</v>
      </c>
      <c r="D41" s="134" t="s">
        <v>361</v>
      </c>
      <c r="E41" s="134" t="s">
        <v>293</v>
      </c>
      <c r="S41" s="124"/>
    </row>
    <row r="42">
      <c r="A42" s="118"/>
      <c r="B42" s="131"/>
      <c r="C42" s="141"/>
      <c r="D42" s="135"/>
      <c r="E42" s="135"/>
      <c r="S42" s="124"/>
    </row>
    <row r="43">
      <c r="A43" s="118"/>
      <c r="B43" s="131"/>
      <c r="C43" s="141"/>
      <c r="D43" s="135"/>
      <c r="E43" s="135"/>
      <c r="S43" s="124"/>
    </row>
    <row r="44">
      <c r="A44" s="118"/>
      <c r="B44" s="131"/>
      <c r="C44" s="141">
        <f>SUM(C4:C41)</f>
        <v>99.94</v>
      </c>
      <c r="D44" s="135"/>
      <c r="E44" s="135"/>
      <c r="S44" s="124"/>
    </row>
    <row r="45">
      <c r="A45" s="118"/>
      <c r="B45" s="131"/>
      <c r="C45" s="135"/>
      <c r="D45" s="135"/>
      <c r="E45" s="135"/>
      <c r="S45" s="124"/>
    </row>
    <row r="46">
      <c r="A46" s="118"/>
      <c r="B46" s="131"/>
      <c r="C46" s="141"/>
      <c r="D46" s="135"/>
      <c r="E46" s="135"/>
      <c r="S46" s="124"/>
    </row>
    <row r="47">
      <c r="A47" s="118"/>
      <c r="B47" s="131"/>
      <c r="C47" s="141"/>
      <c r="D47" s="135"/>
      <c r="E47" s="135"/>
      <c r="S47" s="124"/>
    </row>
    <row r="48">
      <c r="A48" s="118"/>
      <c r="B48" s="131"/>
      <c r="C48" s="141"/>
      <c r="D48" s="135"/>
      <c r="E48" s="135"/>
      <c r="S48" s="124"/>
    </row>
    <row r="49">
      <c r="A49" s="118"/>
      <c r="B49" s="131"/>
      <c r="C49" s="141"/>
      <c r="D49" s="135"/>
      <c r="E49" s="135"/>
      <c r="S49" s="124"/>
    </row>
    <row r="50">
      <c r="A50" s="118"/>
      <c r="B50" s="131"/>
      <c r="C50" s="141"/>
      <c r="D50" s="135"/>
      <c r="E50" s="135"/>
      <c r="S50" s="124"/>
    </row>
    <row r="51">
      <c r="A51" s="118"/>
      <c r="B51" s="131"/>
      <c r="C51" s="135"/>
      <c r="D51" s="135"/>
      <c r="E51" s="135"/>
      <c r="S51" s="124"/>
    </row>
    <row r="52">
      <c r="A52" s="118"/>
      <c r="B52" s="131"/>
      <c r="C52" s="135"/>
      <c r="D52" s="130"/>
      <c r="E52" s="135"/>
      <c r="S52" s="124"/>
    </row>
    <row r="53">
      <c r="A53" s="118"/>
      <c r="B53" s="131"/>
      <c r="C53" s="135"/>
      <c r="D53" s="130"/>
      <c r="E53" s="135"/>
      <c r="S53" s="124"/>
    </row>
    <row r="54">
      <c r="A54" s="118"/>
      <c r="B54" s="131"/>
      <c r="C54" s="135"/>
      <c r="D54" s="142"/>
      <c r="E54" s="135"/>
      <c r="S54" s="124"/>
    </row>
    <row r="55">
      <c r="A55" s="118"/>
      <c r="B55" s="131"/>
      <c r="C55" s="135"/>
      <c r="D55" s="142"/>
      <c r="E55" s="135"/>
      <c r="S55" s="124"/>
    </row>
    <row r="56">
      <c r="B56" s="119"/>
      <c r="S56" s="124"/>
    </row>
    <row r="57">
      <c r="B57" s="119"/>
      <c r="S57" s="124"/>
    </row>
    <row r="58">
      <c r="B58" s="119"/>
      <c r="S58" s="124"/>
    </row>
    <row r="59">
      <c r="B59" s="119"/>
      <c r="S59" s="124"/>
    </row>
    <row r="60">
      <c r="B60" s="119"/>
      <c r="S60" s="124"/>
    </row>
    <row r="61">
      <c r="B61" s="119"/>
      <c r="S61" s="124"/>
    </row>
    <row r="62">
      <c r="B62" s="119"/>
      <c r="S62" s="124"/>
    </row>
    <row r="63">
      <c r="B63" s="119"/>
      <c r="S63" s="124"/>
    </row>
    <row r="64">
      <c r="B64" s="119"/>
      <c r="S64" s="124"/>
    </row>
    <row r="65">
      <c r="B65" s="119"/>
      <c r="S65" s="124"/>
    </row>
    <row r="66">
      <c r="B66" s="119"/>
      <c r="S66" s="124"/>
    </row>
    <row r="67">
      <c r="B67" s="119"/>
      <c r="S67" s="124"/>
    </row>
    <row r="68">
      <c r="B68" s="119"/>
      <c r="S68" s="124"/>
    </row>
    <row r="69">
      <c r="B69" s="119"/>
      <c r="S69" s="124"/>
    </row>
    <row r="70">
      <c r="B70" s="119"/>
      <c r="S70" s="124"/>
    </row>
    <row r="71">
      <c r="B71" s="119"/>
      <c r="S71" s="124"/>
    </row>
    <row r="72">
      <c r="B72" s="119"/>
      <c r="S72" s="124"/>
    </row>
    <row r="73">
      <c r="B73" s="119"/>
      <c r="S73" s="124"/>
    </row>
    <row r="74">
      <c r="B74" s="119"/>
      <c r="S74" s="124"/>
    </row>
    <row r="75">
      <c r="B75" s="119"/>
      <c r="S75" s="124"/>
    </row>
    <row r="76">
      <c r="B76" s="119"/>
      <c r="S76" s="124"/>
    </row>
    <row r="77">
      <c r="B77" s="119"/>
      <c r="S77" s="124"/>
    </row>
    <row r="78">
      <c r="B78" s="119"/>
      <c r="S78" s="124"/>
    </row>
    <row r="79">
      <c r="B79" s="119"/>
      <c r="S79" s="124"/>
    </row>
    <row r="80">
      <c r="B80" s="119"/>
      <c r="S80" s="124"/>
    </row>
    <row r="81">
      <c r="B81" s="119"/>
      <c r="S81" s="124"/>
    </row>
    <row r="82">
      <c r="B82" s="119"/>
      <c r="S82" s="124"/>
    </row>
    <row r="83">
      <c r="B83" s="119"/>
      <c r="S83" s="124"/>
    </row>
    <row r="84">
      <c r="B84" s="119"/>
      <c r="S84" s="124"/>
    </row>
    <row r="85">
      <c r="B85" s="119"/>
      <c r="S85" s="124"/>
    </row>
    <row r="86">
      <c r="B86" s="119"/>
      <c r="S86" s="124"/>
    </row>
    <row r="87">
      <c r="B87" s="119"/>
      <c r="S87" s="124"/>
    </row>
    <row r="88">
      <c r="B88" s="119"/>
      <c r="S88" s="124"/>
    </row>
    <row r="89">
      <c r="B89" s="119"/>
      <c r="S89" s="124"/>
    </row>
    <row r="90">
      <c r="B90" s="119"/>
      <c r="S90" s="124"/>
    </row>
    <row r="91">
      <c r="B91" s="119"/>
      <c r="S91" s="124"/>
    </row>
    <row r="92">
      <c r="B92" s="119"/>
      <c r="S92" s="124"/>
    </row>
    <row r="93">
      <c r="B93" s="119"/>
      <c r="S93" s="124"/>
    </row>
    <row r="94">
      <c r="B94" s="119"/>
      <c r="S94" s="124"/>
    </row>
    <row r="95">
      <c r="B95" s="119"/>
      <c r="S95" s="124"/>
    </row>
    <row r="96">
      <c r="B96" s="119"/>
      <c r="S96" s="124"/>
    </row>
    <row r="97">
      <c r="B97" s="119"/>
      <c r="S97" s="124"/>
    </row>
    <row r="98">
      <c r="B98" s="119"/>
      <c r="S98" s="124"/>
    </row>
    <row r="99">
      <c r="B99" s="119"/>
      <c r="S99" s="124"/>
    </row>
    <row r="100">
      <c r="B100" s="119"/>
      <c r="S100" s="124"/>
    </row>
    <row r="101">
      <c r="B101" s="119"/>
      <c r="S101" s="124"/>
    </row>
    <row r="102">
      <c r="B102" s="119"/>
      <c r="S102" s="124"/>
    </row>
    <row r="103">
      <c r="B103" s="119"/>
      <c r="S103" s="124"/>
    </row>
    <row r="104">
      <c r="B104" s="119"/>
      <c r="S104" s="124"/>
    </row>
    <row r="105">
      <c r="B105" s="119"/>
      <c r="S105" s="124"/>
    </row>
    <row r="106">
      <c r="B106" s="119"/>
      <c r="S106" s="124"/>
    </row>
    <row r="107">
      <c r="B107" s="119"/>
      <c r="S107" s="124"/>
    </row>
    <row r="108">
      <c r="B108" s="119"/>
      <c r="S108" s="124"/>
    </row>
    <row r="109">
      <c r="B109" s="119"/>
      <c r="S109" s="124"/>
    </row>
    <row r="110">
      <c r="B110" s="119"/>
      <c r="S110" s="124"/>
    </row>
    <row r="111">
      <c r="B111" s="119"/>
      <c r="S111" s="124"/>
    </row>
    <row r="112">
      <c r="B112" s="119"/>
      <c r="S112" s="124"/>
    </row>
    <row r="113">
      <c r="B113" s="119"/>
      <c r="S113" s="124"/>
    </row>
    <row r="114">
      <c r="B114" s="119"/>
      <c r="S114" s="124"/>
    </row>
    <row r="115">
      <c r="B115" s="119"/>
      <c r="S115" s="124"/>
    </row>
    <row r="116">
      <c r="B116" s="119"/>
      <c r="S116" s="124"/>
    </row>
    <row r="117">
      <c r="B117" s="119"/>
      <c r="S117" s="124"/>
    </row>
    <row r="118">
      <c r="B118" s="119"/>
      <c r="S118" s="124"/>
    </row>
    <row r="119">
      <c r="B119" s="119"/>
      <c r="S119" s="124"/>
    </row>
    <row r="120">
      <c r="B120" s="119"/>
      <c r="S120" s="124"/>
    </row>
    <row r="121">
      <c r="B121" s="119"/>
      <c r="S121" s="124"/>
    </row>
    <row r="122">
      <c r="B122" s="119"/>
      <c r="S122" s="124"/>
    </row>
    <row r="123">
      <c r="B123" s="119"/>
      <c r="S123" s="124"/>
    </row>
    <row r="124">
      <c r="B124" s="119"/>
      <c r="S124" s="124"/>
    </row>
    <row r="125">
      <c r="B125" s="119"/>
      <c r="S125" s="124"/>
    </row>
    <row r="126">
      <c r="B126" s="119"/>
      <c r="S126" s="124"/>
    </row>
    <row r="127">
      <c r="B127" s="119"/>
      <c r="S127" s="124"/>
    </row>
    <row r="128">
      <c r="B128" s="119"/>
      <c r="S128" s="124"/>
    </row>
    <row r="129">
      <c r="B129" s="119"/>
      <c r="S129" s="124"/>
    </row>
    <row r="130">
      <c r="B130" s="119"/>
      <c r="S130" s="124"/>
    </row>
    <row r="131">
      <c r="B131" s="119"/>
      <c r="S131" s="124"/>
    </row>
    <row r="132">
      <c r="B132" s="119"/>
      <c r="S132" s="124"/>
    </row>
    <row r="133">
      <c r="B133" s="119"/>
      <c r="S133" s="124"/>
    </row>
    <row r="134">
      <c r="B134" s="119"/>
      <c r="S134" s="124"/>
    </row>
    <row r="135">
      <c r="B135" s="119"/>
      <c r="S135" s="124"/>
    </row>
    <row r="136">
      <c r="B136" s="119"/>
      <c r="S136" s="124"/>
    </row>
    <row r="137">
      <c r="B137" s="119"/>
      <c r="S137" s="124"/>
    </row>
    <row r="138">
      <c r="B138" s="119"/>
      <c r="S138" s="124"/>
    </row>
    <row r="139">
      <c r="B139" s="119"/>
      <c r="S139" s="124"/>
    </row>
    <row r="140">
      <c r="B140" s="119"/>
      <c r="S140" s="124"/>
    </row>
    <row r="141">
      <c r="B141" s="119"/>
      <c r="S141" s="124"/>
    </row>
    <row r="142">
      <c r="B142" s="119"/>
      <c r="S142" s="124"/>
    </row>
    <row r="143">
      <c r="B143" s="119"/>
      <c r="S143" s="124"/>
    </row>
    <row r="144">
      <c r="B144" s="119"/>
      <c r="S144" s="124"/>
    </row>
    <row r="145">
      <c r="B145" s="119"/>
      <c r="S145" s="124"/>
    </row>
    <row r="146">
      <c r="B146" s="119"/>
      <c r="S146" s="124"/>
    </row>
    <row r="147">
      <c r="B147" s="119"/>
      <c r="S147" s="124"/>
    </row>
    <row r="148">
      <c r="B148" s="119"/>
      <c r="S148" s="124"/>
    </row>
    <row r="149">
      <c r="B149" s="119"/>
      <c r="S149" s="124"/>
    </row>
    <row r="150">
      <c r="B150" s="119"/>
      <c r="S150" s="124"/>
    </row>
    <row r="151">
      <c r="B151" s="119"/>
      <c r="S151" s="124"/>
    </row>
    <row r="152">
      <c r="B152" s="119"/>
      <c r="S152" s="124"/>
    </row>
    <row r="153">
      <c r="B153" s="119"/>
      <c r="S153" s="124"/>
    </row>
    <row r="154">
      <c r="B154" s="119"/>
      <c r="S154" s="124"/>
    </row>
    <row r="155">
      <c r="B155" s="119"/>
      <c r="S155" s="124"/>
    </row>
    <row r="156">
      <c r="B156" s="119"/>
      <c r="S156" s="124"/>
    </row>
    <row r="157">
      <c r="B157" s="119"/>
      <c r="S157" s="124"/>
    </row>
    <row r="158">
      <c r="B158" s="119"/>
      <c r="S158" s="124"/>
    </row>
    <row r="159">
      <c r="B159" s="119"/>
      <c r="S159" s="124"/>
    </row>
    <row r="160">
      <c r="B160" s="119"/>
      <c r="S160" s="124"/>
    </row>
    <row r="161">
      <c r="B161" s="119"/>
      <c r="S161" s="124"/>
    </row>
    <row r="162">
      <c r="B162" s="119"/>
      <c r="S162" s="124"/>
    </row>
    <row r="163">
      <c r="B163" s="119"/>
      <c r="S163" s="124"/>
    </row>
    <row r="164">
      <c r="B164" s="119"/>
      <c r="S164" s="124"/>
    </row>
    <row r="165">
      <c r="B165" s="119"/>
      <c r="S165" s="124"/>
    </row>
    <row r="166">
      <c r="B166" s="119"/>
      <c r="S166" s="124"/>
    </row>
    <row r="167">
      <c r="B167" s="119"/>
      <c r="S167" s="124"/>
    </row>
    <row r="168">
      <c r="B168" s="119"/>
      <c r="S168" s="124"/>
    </row>
    <row r="169">
      <c r="B169" s="119"/>
      <c r="S169" s="124"/>
    </row>
    <row r="170">
      <c r="B170" s="119"/>
      <c r="S170" s="124"/>
    </row>
    <row r="171">
      <c r="B171" s="119"/>
      <c r="S171" s="124"/>
    </row>
    <row r="172">
      <c r="B172" s="119"/>
      <c r="S172" s="124"/>
    </row>
    <row r="173">
      <c r="B173" s="119"/>
      <c r="S173" s="124"/>
    </row>
    <row r="174">
      <c r="B174" s="119"/>
      <c r="S174" s="124"/>
    </row>
    <row r="175">
      <c r="B175" s="119"/>
      <c r="S175" s="124"/>
    </row>
    <row r="176">
      <c r="B176" s="119"/>
      <c r="S176" s="124"/>
    </row>
    <row r="177">
      <c r="B177" s="119"/>
      <c r="S177" s="124"/>
    </row>
    <row r="178">
      <c r="B178" s="119"/>
      <c r="S178" s="124"/>
    </row>
    <row r="179">
      <c r="B179" s="119"/>
      <c r="S179" s="124"/>
    </row>
    <row r="180">
      <c r="B180" s="119"/>
      <c r="S180" s="124"/>
    </row>
    <row r="181">
      <c r="B181" s="119"/>
      <c r="S181" s="124"/>
    </row>
    <row r="182">
      <c r="B182" s="119"/>
      <c r="S182" s="124"/>
    </row>
    <row r="183">
      <c r="B183" s="119"/>
      <c r="S183" s="124"/>
    </row>
    <row r="184">
      <c r="B184" s="119"/>
      <c r="S184" s="124"/>
    </row>
    <row r="185">
      <c r="B185" s="119"/>
      <c r="S185" s="124"/>
    </row>
    <row r="186">
      <c r="B186" s="119"/>
      <c r="S186" s="124"/>
    </row>
    <row r="187">
      <c r="B187" s="119"/>
      <c r="S187" s="124"/>
    </row>
    <row r="188">
      <c r="B188" s="119"/>
      <c r="S188" s="124"/>
    </row>
    <row r="189">
      <c r="B189" s="119"/>
      <c r="S189" s="124"/>
    </row>
    <row r="190">
      <c r="B190" s="119"/>
      <c r="S190" s="124"/>
    </row>
    <row r="191">
      <c r="B191" s="119"/>
      <c r="S191" s="124"/>
    </row>
    <row r="192">
      <c r="B192" s="119"/>
      <c r="S192" s="124"/>
    </row>
    <row r="193">
      <c r="B193" s="119"/>
      <c r="S193" s="124"/>
    </row>
    <row r="194">
      <c r="B194" s="119"/>
      <c r="S194" s="124"/>
    </row>
    <row r="195">
      <c r="B195" s="119"/>
      <c r="S195" s="124"/>
    </row>
    <row r="196">
      <c r="B196" s="119"/>
      <c r="S196" s="124"/>
    </row>
    <row r="197">
      <c r="B197" s="119"/>
      <c r="S197" s="124"/>
    </row>
    <row r="198">
      <c r="B198" s="119"/>
      <c r="S198" s="124"/>
    </row>
    <row r="199">
      <c r="B199" s="119"/>
      <c r="S199" s="124"/>
    </row>
    <row r="200">
      <c r="B200" s="119"/>
      <c r="S200" s="124"/>
    </row>
    <row r="201">
      <c r="B201" s="119"/>
      <c r="S201" s="124"/>
    </row>
    <row r="202">
      <c r="B202" s="119"/>
      <c r="S202" s="124"/>
    </row>
    <row r="203">
      <c r="B203" s="119"/>
      <c r="S203" s="124"/>
    </row>
    <row r="204">
      <c r="B204" s="119"/>
      <c r="S204" s="124"/>
    </row>
    <row r="205">
      <c r="B205" s="119"/>
      <c r="S205" s="124"/>
    </row>
    <row r="206">
      <c r="B206" s="119"/>
      <c r="S206" s="124"/>
    </row>
    <row r="207">
      <c r="B207" s="119"/>
      <c r="S207" s="124"/>
    </row>
    <row r="208">
      <c r="B208" s="119"/>
      <c r="S208" s="124"/>
    </row>
    <row r="209">
      <c r="B209" s="119"/>
      <c r="S209" s="124"/>
    </row>
    <row r="210">
      <c r="B210" s="119"/>
      <c r="S210" s="124"/>
    </row>
    <row r="211">
      <c r="B211" s="119"/>
      <c r="S211" s="124"/>
    </row>
    <row r="212">
      <c r="B212" s="119"/>
      <c r="S212" s="124"/>
    </row>
    <row r="213">
      <c r="B213" s="119"/>
      <c r="S213" s="124"/>
    </row>
    <row r="214">
      <c r="B214" s="119"/>
      <c r="S214" s="124"/>
    </row>
    <row r="215">
      <c r="B215" s="119"/>
      <c r="S215" s="124"/>
    </row>
    <row r="216">
      <c r="B216" s="119"/>
      <c r="S216" s="124"/>
    </row>
    <row r="217">
      <c r="B217" s="119"/>
      <c r="S217" s="124"/>
    </row>
    <row r="218">
      <c r="B218" s="119"/>
      <c r="S218" s="124"/>
    </row>
    <row r="219">
      <c r="B219" s="119"/>
      <c r="S219" s="124"/>
    </row>
    <row r="220">
      <c r="B220" s="119"/>
      <c r="S220" s="124"/>
    </row>
    <row r="221">
      <c r="B221" s="119"/>
      <c r="S221" s="124"/>
    </row>
    <row r="222">
      <c r="B222" s="119"/>
      <c r="S222" s="124"/>
    </row>
    <row r="223">
      <c r="B223" s="119"/>
      <c r="S223" s="124"/>
    </row>
    <row r="224">
      <c r="B224" s="119"/>
      <c r="S224" s="124"/>
    </row>
    <row r="225">
      <c r="B225" s="119"/>
      <c r="S225" s="124"/>
    </row>
    <row r="226">
      <c r="B226" s="119"/>
      <c r="S226" s="124"/>
    </row>
    <row r="227">
      <c r="B227" s="119"/>
      <c r="S227" s="124"/>
    </row>
    <row r="228">
      <c r="B228" s="119"/>
      <c r="S228" s="124"/>
    </row>
    <row r="229">
      <c r="B229" s="119"/>
      <c r="S229" s="124"/>
    </row>
    <row r="230">
      <c r="B230" s="119"/>
      <c r="S230" s="124"/>
    </row>
    <row r="231">
      <c r="B231" s="119"/>
      <c r="S231" s="124"/>
    </row>
    <row r="232">
      <c r="B232" s="119"/>
      <c r="S232" s="124"/>
    </row>
    <row r="233">
      <c r="B233" s="119"/>
      <c r="S233" s="124"/>
    </row>
    <row r="234">
      <c r="B234" s="119"/>
      <c r="S234" s="124"/>
    </row>
    <row r="235">
      <c r="B235" s="119"/>
      <c r="S235" s="124"/>
    </row>
    <row r="236">
      <c r="B236" s="119"/>
      <c r="S236" s="124"/>
    </row>
    <row r="237">
      <c r="B237" s="119"/>
      <c r="S237" s="124"/>
    </row>
    <row r="238">
      <c r="B238" s="119"/>
      <c r="S238" s="124"/>
    </row>
    <row r="239">
      <c r="B239" s="119"/>
      <c r="S239" s="124"/>
    </row>
    <row r="240">
      <c r="B240" s="119"/>
      <c r="S240" s="124"/>
    </row>
    <row r="241">
      <c r="B241" s="119"/>
      <c r="S241" s="124"/>
    </row>
    <row r="242">
      <c r="B242" s="119"/>
      <c r="S242" s="124"/>
    </row>
    <row r="243">
      <c r="B243" s="119"/>
      <c r="S243" s="124"/>
    </row>
    <row r="244">
      <c r="B244" s="119"/>
      <c r="S244" s="124"/>
    </row>
    <row r="245">
      <c r="B245" s="119"/>
      <c r="S245" s="124"/>
    </row>
    <row r="246">
      <c r="B246" s="119"/>
      <c r="S246" s="124"/>
    </row>
    <row r="247">
      <c r="B247" s="119"/>
      <c r="S247" s="124"/>
    </row>
    <row r="248">
      <c r="B248" s="119"/>
      <c r="S248" s="124"/>
    </row>
    <row r="249">
      <c r="B249" s="119"/>
      <c r="S249" s="124"/>
    </row>
    <row r="250">
      <c r="B250" s="119"/>
      <c r="S250" s="124"/>
    </row>
    <row r="251">
      <c r="B251" s="119"/>
      <c r="S251" s="124"/>
    </row>
    <row r="252">
      <c r="B252" s="119"/>
      <c r="S252" s="124"/>
    </row>
    <row r="253">
      <c r="B253" s="119"/>
      <c r="S253" s="124"/>
    </row>
    <row r="254">
      <c r="B254" s="119"/>
      <c r="S254" s="124"/>
    </row>
    <row r="255">
      <c r="B255" s="119"/>
      <c r="S255" s="124"/>
    </row>
    <row r="256">
      <c r="B256" s="119"/>
      <c r="S256" s="124"/>
    </row>
    <row r="257">
      <c r="B257" s="119"/>
      <c r="S257" s="124"/>
    </row>
    <row r="258">
      <c r="B258" s="119"/>
      <c r="S258" s="124"/>
    </row>
    <row r="259">
      <c r="B259" s="119"/>
      <c r="S259" s="124"/>
    </row>
    <row r="260">
      <c r="B260" s="119"/>
      <c r="S260" s="124"/>
    </row>
    <row r="261">
      <c r="B261" s="119"/>
      <c r="S261" s="124"/>
    </row>
    <row r="262">
      <c r="B262" s="119"/>
      <c r="S262" s="124"/>
    </row>
    <row r="263">
      <c r="B263" s="119"/>
      <c r="S263" s="124"/>
    </row>
    <row r="264">
      <c r="B264" s="119"/>
      <c r="S264" s="124"/>
    </row>
    <row r="265">
      <c r="B265" s="119"/>
      <c r="S265" s="124"/>
    </row>
    <row r="266">
      <c r="B266" s="119"/>
      <c r="S266" s="124"/>
    </row>
    <row r="267">
      <c r="B267" s="119"/>
      <c r="S267" s="124"/>
    </row>
    <row r="268">
      <c r="B268" s="119"/>
      <c r="S268" s="124"/>
    </row>
    <row r="269">
      <c r="B269" s="119"/>
      <c r="S269" s="124"/>
    </row>
    <row r="270">
      <c r="B270" s="119"/>
      <c r="S270" s="124"/>
    </row>
    <row r="271">
      <c r="B271" s="119"/>
      <c r="S271" s="124"/>
    </row>
    <row r="272">
      <c r="B272" s="119"/>
      <c r="S272" s="124"/>
    </row>
    <row r="273">
      <c r="B273" s="119"/>
      <c r="S273" s="124"/>
    </row>
    <row r="274">
      <c r="B274" s="119"/>
      <c r="S274" s="124"/>
    </row>
    <row r="275">
      <c r="B275" s="119"/>
      <c r="S275" s="124"/>
    </row>
    <row r="276">
      <c r="B276" s="119"/>
      <c r="S276" s="124"/>
    </row>
    <row r="277">
      <c r="B277" s="119"/>
      <c r="S277" s="124"/>
    </row>
    <row r="278">
      <c r="B278" s="119"/>
      <c r="S278" s="124"/>
    </row>
    <row r="279">
      <c r="B279" s="119"/>
      <c r="S279" s="124"/>
    </row>
    <row r="280">
      <c r="B280" s="119"/>
      <c r="S280" s="124"/>
    </row>
    <row r="281">
      <c r="B281" s="119"/>
      <c r="S281" s="124"/>
    </row>
    <row r="282">
      <c r="B282" s="119"/>
      <c r="S282" s="124"/>
    </row>
    <row r="283">
      <c r="B283" s="119"/>
      <c r="S283" s="124"/>
    </row>
    <row r="284">
      <c r="B284" s="119"/>
      <c r="S284" s="124"/>
    </row>
    <row r="285">
      <c r="B285" s="119"/>
      <c r="S285" s="124"/>
    </row>
    <row r="286">
      <c r="B286" s="119"/>
      <c r="S286" s="124"/>
    </row>
    <row r="287">
      <c r="B287" s="119"/>
      <c r="S287" s="124"/>
    </row>
    <row r="288">
      <c r="B288" s="119"/>
      <c r="S288" s="124"/>
    </row>
    <row r="289">
      <c r="B289" s="119"/>
      <c r="S289" s="124"/>
    </row>
    <row r="290">
      <c r="B290" s="119"/>
      <c r="S290" s="124"/>
    </row>
    <row r="291">
      <c r="B291" s="119"/>
      <c r="S291" s="124"/>
    </row>
    <row r="292">
      <c r="B292" s="119"/>
      <c r="S292" s="124"/>
    </row>
    <row r="293">
      <c r="B293" s="119"/>
      <c r="S293" s="124"/>
    </row>
    <row r="294">
      <c r="B294" s="119"/>
      <c r="S294" s="124"/>
    </row>
    <row r="295">
      <c r="B295" s="119"/>
      <c r="S295" s="124"/>
    </row>
    <row r="296">
      <c r="B296" s="119"/>
      <c r="S296" s="124"/>
    </row>
    <row r="297">
      <c r="B297" s="119"/>
      <c r="S297" s="124"/>
    </row>
    <row r="298">
      <c r="B298" s="119"/>
      <c r="S298" s="124"/>
    </row>
    <row r="299">
      <c r="B299" s="119"/>
      <c r="S299" s="124"/>
    </row>
    <row r="300">
      <c r="B300" s="119"/>
      <c r="S300" s="124"/>
    </row>
    <row r="301">
      <c r="B301" s="119"/>
      <c r="S301" s="124"/>
    </row>
    <row r="302">
      <c r="B302" s="119"/>
      <c r="S302" s="124"/>
    </row>
    <row r="303">
      <c r="B303" s="119"/>
      <c r="S303" s="124"/>
    </row>
    <row r="304">
      <c r="B304" s="119"/>
      <c r="S304" s="124"/>
    </row>
    <row r="305">
      <c r="B305" s="119"/>
      <c r="S305" s="124"/>
    </row>
    <row r="306">
      <c r="B306" s="119"/>
      <c r="S306" s="124"/>
    </row>
    <row r="307">
      <c r="B307" s="119"/>
      <c r="S307" s="124"/>
    </row>
    <row r="308">
      <c r="B308" s="119"/>
      <c r="S308" s="124"/>
    </row>
    <row r="309">
      <c r="B309" s="119"/>
      <c r="S309" s="124"/>
    </row>
    <row r="310">
      <c r="B310" s="119"/>
      <c r="S310" s="124"/>
    </row>
    <row r="311">
      <c r="B311" s="119"/>
      <c r="S311" s="124"/>
    </row>
    <row r="312">
      <c r="B312" s="119"/>
      <c r="S312" s="124"/>
    </row>
    <row r="313">
      <c r="B313" s="119"/>
      <c r="S313" s="124"/>
    </row>
    <row r="314">
      <c r="B314" s="119"/>
      <c r="S314" s="124"/>
    </row>
    <row r="315">
      <c r="B315" s="119"/>
      <c r="S315" s="124"/>
    </row>
    <row r="316">
      <c r="B316" s="119"/>
      <c r="S316" s="124"/>
    </row>
    <row r="317">
      <c r="B317" s="119"/>
      <c r="S317" s="124"/>
    </row>
    <row r="318">
      <c r="B318" s="119"/>
      <c r="S318" s="124"/>
    </row>
    <row r="319">
      <c r="B319" s="119"/>
      <c r="S319" s="124"/>
    </row>
    <row r="320">
      <c r="B320" s="119"/>
      <c r="S320" s="124"/>
    </row>
    <row r="321">
      <c r="B321" s="119"/>
      <c r="S321" s="124"/>
    </row>
    <row r="322">
      <c r="B322" s="119"/>
      <c r="S322" s="124"/>
    </row>
    <row r="323">
      <c r="B323" s="119"/>
      <c r="S323" s="124"/>
    </row>
    <row r="324">
      <c r="B324" s="119"/>
      <c r="S324" s="124"/>
    </row>
    <row r="325">
      <c r="B325" s="119"/>
      <c r="S325" s="124"/>
    </row>
    <row r="326">
      <c r="B326" s="119"/>
      <c r="S326" s="124"/>
    </row>
    <row r="327">
      <c r="B327" s="119"/>
      <c r="S327" s="124"/>
    </row>
    <row r="328">
      <c r="B328" s="119"/>
      <c r="S328" s="124"/>
    </row>
    <row r="329">
      <c r="B329" s="119"/>
      <c r="S329" s="124"/>
    </row>
    <row r="330">
      <c r="B330" s="119"/>
      <c r="S330" s="124"/>
    </row>
    <row r="331">
      <c r="B331" s="119"/>
      <c r="S331" s="124"/>
    </row>
    <row r="332">
      <c r="B332" s="119"/>
      <c r="S332" s="124"/>
    </row>
    <row r="333">
      <c r="B333" s="119"/>
      <c r="S333" s="124"/>
    </row>
    <row r="334">
      <c r="B334" s="119"/>
      <c r="S334" s="124"/>
    </row>
    <row r="335">
      <c r="B335" s="119"/>
      <c r="S335" s="124"/>
    </row>
    <row r="336">
      <c r="B336" s="119"/>
      <c r="S336" s="124"/>
    </row>
    <row r="337">
      <c r="B337" s="119"/>
      <c r="S337" s="124"/>
    </row>
    <row r="338">
      <c r="B338" s="119"/>
      <c r="S338" s="124"/>
    </row>
    <row r="339">
      <c r="B339" s="119"/>
      <c r="S339" s="124"/>
    </row>
    <row r="340">
      <c r="B340" s="119"/>
      <c r="S340" s="124"/>
    </row>
    <row r="341">
      <c r="B341" s="119"/>
      <c r="S341" s="124"/>
    </row>
    <row r="342">
      <c r="B342" s="119"/>
      <c r="S342" s="124"/>
    </row>
    <row r="343">
      <c r="B343" s="119"/>
      <c r="S343" s="124"/>
    </row>
    <row r="344">
      <c r="B344" s="119"/>
      <c r="S344" s="124"/>
    </row>
    <row r="345">
      <c r="B345" s="119"/>
      <c r="S345" s="124"/>
    </row>
    <row r="346">
      <c r="B346" s="119"/>
      <c r="S346" s="124"/>
    </row>
    <row r="347">
      <c r="B347" s="119"/>
      <c r="S347" s="124"/>
    </row>
    <row r="348">
      <c r="B348" s="119"/>
      <c r="S348" s="124"/>
    </row>
    <row r="349">
      <c r="B349" s="119"/>
      <c r="S349" s="124"/>
    </row>
    <row r="350">
      <c r="B350" s="119"/>
      <c r="S350" s="124"/>
    </row>
    <row r="351">
      <c r="B351" s="119"/>
      <c r="S351" s="124"/>
    </row>
    <row r="352">
      <c r="B352" s="119"/>
      <c r="S352" s="124"/>
    </row>
    <row r="353">
      <c r="B353" s="119"/>
      <c r="S353" s="124"/>
    </row>
    <row r="354">
      <c r="B354" s="119"/>
      <c r="S354" s="124"/>
    </row>
    <row r="355">
      <c r="B355" s="119"/>
      <c r="S355" s="124"/>
    </row>
    <row r="356">
      <c r="B356" s="119"/>
      <c r="S356" s="124"/>
    </row>
    <row r="357">
      <c r="B357" s="119"/>
      <c r="S357" s="124"/>
    </row>
    <row r="358">
      <c r="B358" s="119"/>
      <c r="S358" s="124"/>
    </row>
    <row r="359">
      <c r="B359" s="119"/>
      <c r="S359" s="124"/>
    </row>
    <row r="360">
      <c r="B360" s="119"/>
      <c r="S360" s="124"/>
    </row>
    <row r="361">
      <c r="B361" s="119"/>
      <c r="S361" s="124"/>
    </row>
    <row r="362">
      <c r="B362" s="119"/>
      <c r="S362" s="124"/>
    </row>
    <row r="363">
      <c r="B363" s="119"/>
      <c r="S363" s="124"/>
    </row>
    <row r="364">
      <c r="B364" s="119"/>
      <c r="S364" s="124"/>
    </row>
    <row r="365">
      <c r="B365" s="119"/>
      <c r="S365" s="124"/>
    </row>
    <row r="366">
      <c r="B366" s="119"/>
      <c r="S366" s="124"/>
    </row>
    <row r="367">
      <c r="B367" s="119"/>
      <c r="S367" s="124"/>
    </row>
    <row r="368">
      <c r="B368" s="119"/>
      <c r="S368" s="124"/>
    </row>
    <row r="369">
      <c r="B369" s="119"/>
      <c r="S369" s="124"/>
    </row>
    <row r="370">
      <c r="B370" s="119"/>
      <c r="S370" s="124"/>
    </row>
    <row r="371">
      <c r="B371" s="119"/>
      <c r="S371" s="124"/>
    </row>
    <row r="372">
      <c r="B372" s="119"/>
      <c r="S372" s="124"/>
    </row>
    <row r="373">
      <c r="B373" s="119"/>
      <c r="S373" s="124"/>
    </row>
    <row r="374">
      <c r="B374" s="119"/>
      <c r="S374" s="124"/>
    </row>
    <row r="375">
      <c r="B375" s="119"/>
      <c r="S375" s="124"/>
    </row>
    <row r="376">
      <c r="B376" s="119"/>
      <c r="S376" s="124"/>
    </row>
    <row r="377">
      <c r="B377" s="119"/>
      <c r="S377" s="124"/>
    </row>
    <row r="378">
      <c r="B378" s="119"/>
      <c r="S378" s="124"/>
    </row>
    <row r="379">
      <c r="B379" s="119"/>
      <c r="S379" s="124"/>
    </row>
    <row r="380">
      <c r="B380" s="119"/>
      <c r="S380" s="124"/>
    </row>
    <row r="381">
      <c r="B381" s="119"/>
      <c r="S381" s="124"/>
    </row>
    <row r="382">
      <c r="B382" s="119"/>
      <c r="S382" s="124"/>
    </row>
    <row r="383">
      <c r="B383" s="119"/>
      <c r="S383" s="124"/>
    </row>
    <row r="384">
      <c r="B384" s="119"/>
      <c r="S384" s="124"/>
    </row>
    <row r="385">
      <c r="B385" s="119"/>
      <c r="S385" s="124"/>
    </row>
    <row r="386">
      <c r="B386" s="119"/>
      <c r="S386" s="124"/>
    </row>
    <row r="387">
      <c r="B387" s="119"/>
      <c r="S387" s="124"/>
    </row>
    <row r="388">
      <c r="B388" s="119"/>
      <c r="S388" s="124"/>
    </row>
    <row r="389">
      <c r="B389" s="119"/>
      <c r="S389" s="124"/>
    </row>
    <row r="390">
      <c r="B390" s="119"/>
      <c r="S390" s="124"/>
    </row>
    <row r="391">
      <c r="B391" s="119"/>
      <c r="S391" s="124"/>
    </row>
    <row r="392">
      <c r="B392" s="119"/>
      <c r="S392" s="124"/>
    </row>
    <row r="393">
      <c r="B393" s="119"/>
      <c r="S393" s="124"/>
    </row>
    <row r="394">
      <c r="B394" s="119"/>
      <c r="S394" s="124"/>
    </row>
    <row r="395">
      <c r="B395" s="119"/>
      <c r="S395" s="124"/>
    </row>
    <row r="396">
      <c r="B396" s="119"/>
      <c r="S396" s="124"/>
    </row>
    <row r="397">
      <c r="B397" s="119"/>
      <c r="S397" s="124"/>
    </row>
    <row r="398">
      <c r="B398" s="119"/>
      <c r="S398" s="124"/>
    </row>
    <row r="399">
      <c r="B399" s="119"/>
      <c r="S399" s="124"/>
    </row>
    <row r="400">
      <c r="B400" s="119"/>
      <c r="S400" s="124"/>
    </row>
    <row r="401">
      <c r="B401" s="119"/>
      <c r="S401" s="124"/>
    </row>
    <row r="402">
      <c r="B402" s="119"/>
      <c r="S402" s="124"/>
    </row>
    <row r="403">
      <c r="B403" s="119"/>
      <c r="S403" s="124"/>
    </row>
    <row r="404">
      <c r="B404" s="119"/>
      <c r="S404" s="124"/>
    </row>
    <row r="405">
      <c r="B405" s="119"/>
      <c r="S405" s="124"/>
    </row>
    <row r="406">
      <c r="B406" s="119"/>
      <c r="S406" s="124"/>
    </row>
    <row r="407">
      <c r="B407" s="119"/>
      <c r="S407" s="124"/>
    </row>
    <row r="408">
      <c r="B408" s="119"/>
      <c r="S408" s="124"/>
    </row>
    <row r="409">
      <c r="B409" s="119"/>
      <c r="S409" s="124"/>
    </row>
    <row r="410">
      <c r="B410" s="119"/>
      <c r="S410" s="124"/>
    </row>
    <row r="411">
      <c r="B411" s="119"/>
      <c r="S411" s="124"/>
    </row>
    <row r="412">
      <c r="B412" s="119"/>
      <c r="S412" s="124"/>
    </row>
    <row r="413">
      <c r="B413" s="119"/>
      <c r="S413" s="124"/>
    </row>
    <row r="414">
      <c r="B414" s="119"/>
      <c r="S414" s="124"/>
    </row>
    <row r="415">
      <c r="B415" s="119"/>
      <c r="S415" s="124"/>
    </row>
    <row r="416">
      <c r="B416" s="119"/>
      <c r="S416" s="124"/>
    </row>
    <row r="417">
      <c r="B417" s="119"/>
      <c r="S417" s="124"/>
    </row>
    <row r="418">
      <c r="B418" s="119"/>
      <c r="S418" s="124"/>
    </row>
    <row r="419">
      <c r="B419" s="119"/>
      <c r="S419" s="124"/>
    </row>
    <row r="420">
      <c r="B420" s="119"/>
      <c r="S420" s="124"/>
    </row>
    <row r="421">
      <c r="B421" s="119"/>
      <c r="S421" s="124"/>
    </row>
    <row r="422">
      <c r="B422" s="119"/>
      <c r="S422" s="124"/>
    </row>
    <row r="423">
      <c r="B423" s="119"/>
      <c r="S423" s="124"/>
    </row>
    <row r="424">
      <c r="B424" s="119"/>
      <c r="S424" s="124"/>
    </row>
    <row r="425">
      <c r="B425" s="119"/>
      <c r="S425" s="124"/>
    </row>
    <row r="426">
      <c r="B426" s="119"/>
      <c r="S426" s="124"/>
    </row>
    <row r="427">
      <c r="B427" s="119"/>
      <c r="S427" s="124"/>
    </row>
    <row r="428">
      <c r="B428" s="119"/>
      <c r="S428" s="124"/>
    </row>
    <row r="429">
      <c r="B429" s="119"/>
      <c r="S429" s="124"/>
    </row>
    <row r="430">
      <c r="B430" s="119"/>
      <c r="S430" s="124"/>
    </row>
    <row r="431">
      <c r="B431" s="119"/>
      <c r="S431" s="124"/>
    </row>
    <row r="432">
      <c r="B432" s="119"/>
      <c r="S432" s="124"/>
    </row>
    <row r="433">
      <c r="B433" s="119"/>
      <c r="S433" s="124"/>
    </row>
    <row r="434">
      <c r="B434" s="119"/>
      <c r="S434" s="124"/>
    </row>
    <row r="435">
      <c r="B435" s="119"/>
      <c r="S435" s="124"/>
    </row>
    <row r="436">
      <c r="B436" s="119"/>
      <c r="S436" s="124"/>
    </row>
    <row r="437">
      <c r="B437" s="119"/>
      <c r="S437" s="124"/>
    </row>
    <row r="438">
      <c r="B438" s="119"/>
      <c r="S438" s="124"/>
    </row>
    <row r="439">
      <c r="B439" s="119"/>
      <c r="S439" s="124"/>
    </row>
    <row r="440">
      <c r="B440" s="119"/>
      <c r="S440" s="124"/>
    </row>
    <row r="441">
      <c r="B441" s="119"/>
      <c r="S441" s="124"/>
    </row>
    <row r="442">
      <c r="B442" s="119"/>
      <c r="S442" s="124"/>
    </row>
    <row r="443">
      <c r="B443" s="119"/>
      <c r="S443" s="124"/>
    </row>
    <row r="444">
      <c r="B444" s="119"/>
      <c r="S444" s="124"/>
    </row>
    <row r="445">
      <c r="B445" s="119"/>
      <c r="S445" s="124"/>
    </row>
    <row r="446">
      <c r="B446" s="119"/>
      <c r="S446" s="124"/>
    </row>
    <row r="447">
      <c r="B447" s="119"/>
      <c r="S447" s="124"/>
    </row>
    <row r="448">
      <c r="B448" s="119"/>
      <c r="S448" s="124"/>
    </row>
    <row r="449">
      <c r="B449" s="119"/>
      <c r="S449" s="124"/>
    </row>
    <row r="450">
      <c r="B450" s="119"/>
      <c r="S450" s="124"/>
    </row>
    <row r="451">
      <c r="B451" s="119"/>
      <c r="S451" s="124"/>
    </row>
    <row r="452">
      <c r="B452" s="119"/>
      <c r="S452" s="124"/>
    </row>
    <row r="453">
      <c r="B453" s="119"/>
      <c r="S453" s="124"/>
    </row>
    <row r="454">
      <c r="B454" s="119"/>
      <c r="S454" s="124"/>
    </row>
    <row r="455">
      <c r="B455" s="119"/>
      <c r="S455" s="124"/>
    </row>
    <row r="456">
      <c r="B456" s="119"/>
      <c r="S456" s="124"/>
    </row>
    <row r="457">
      <c r="B457" s="119"/>
      <c r="S457" s="124"/>
    </row>
    <row r="458">
      <c r="B458" s="119"/>
      <c r="S458" s="124"/>
    </row>
    <row r="459">
      <c r="B459" s="119"/>
      <c r="S459" s="124"/>
    </row>
    <row r="460">
      <c r="B460" s="119"/>
      <c r="S460" s="124"/>
    </row>
    <row r="461">
      <c r="B461" s="119"/>
      <c r="S461" s="124"/>
    </row>
    <row r="462">
      <c r="B462" s="119"/>
      <c r="S462" s="124"/>
    </row>
    <row r="463">
      <c r="B463" s="119"/>
      <c r="S463" s="124"/>
    </row>
    <row r="464">
      <c r="B464" s="119"/>
      <c r="S464" s="124"/>
    </row>
    <row r="465">
      <c r="B465" s="119"/>
      <c r="S465" s="124"/>
    </row>
    <row r="466">
      <c r="B466" s="119"/>
      <c r="S466" s="124"/>
    </row>
    <row r="467">
      <c r="B467" s="119"/>
      <c r="S467" s="124"/>
    </row>
    <row r="468">
      <c r="B468" s="119"/>
      <c r="S468" s="124"/>
    </row>
    <row r="469">
      <c r="B469" s="119"/>
      <c r="S469" s="124"/>
    </row>
    <row r="470">
      <c r="B470" s="119"/>
      <c r="S470" s="124"/>
    </row>
    <row r="471">
      <c r="B471" s="119"/>
      <c r="S471" s="124"/>
    </row>
    <row r="472">
      <c r="B472" s="119"/>
      <c r="S472" s="124"/>
    </row>
    <row r="473">
      <c r="B473" s="119"/>
      <c r="S473" s="124"/>
    </row>
    <row r="474">
      <c r="B474" s="119"/>
      <c r="S474" s="124"/>
    </row>
    <row r="475">
      <c r="B475" s="119"/>
      <c r="S475" s="124"/>
    </row>
    <row r="476">
      <c r="B476" s="119"/>
      <c r="S476" s="124"/>
    </row>
    <row r="477">
      <c r="B477" s="119"/>
      <c r="S477" s="124"/>
    </row>
    <row r="478">
      <c r="B478" s="119"/>
      <c r="S478" s="124"/>
    </row>
    <row r="479">
      <c r="B479" s="119"/>
      <c r="S479" s="124"/>
    </row>
    <row r="480">
      <c r="B480" s="119"/>
      <c r="S480" s="124"/>
    </row>
    <row r="481">
      <c r="B481" s="119"/>
      <c r="S481" s="124"/>
    </row>
    <row r="482">
      <c r="B482" s="119"/>
      <c r="S482" s="124"/>
    </row>
    <row r="483">
      <c r="B483" s="119"/>
      <c r="S483" s="124"/>
    </row>
    <row r="484">
      <c r="B484" s="119"/>
      <c r="S484" s="124"/>
    </row>
    <row r="485">
      <c r="B485" s="119"/>
      <c r="S485" s="124"/>
    </row>
    <row r="486">
      <c r="B486" s="119"/>
      <c r="S486" s="124"/>
    </row>
    <row r="487">
      <c r="B487" s="119"/>
      <c r="S487" s="124"/>
    </row>
    <row r="488">
      <c r="B488" s="119"/>
      <c r="S488" s="124"/>
    </row>
    <row r="489">
      <c r="B489" s="119"/>
      <c r="S489" s="124"/>
    </row>
    <row r="490">
      <c r="B490" s="119"/>
      <c r="S490" s="124"/>
    </row>
    <row r="491">
      <c r="B491" s="119"/>
      <c r="S491" s="124"/>
    </row>
    <row r="492">
      <c r="B492" s="119"/>
      <c r="S492" s="124"/>
    </row>
    <row r="493">
      <c r="B493" s="119"/>
      <c r="S493" s="124"/>
    </row>
    <row r="494">
      <c r="B494" s="119"/>
      <c r="S494" s="124"/>
    </row>
    <row r="495">
      <c r="B495" s="119"/>
      <c r="S495" s="124"/>
    </row>
    <row r="496">
      <c r="B496" s="119"/>
      <c r="S496" s="124"/>
    </row>
    <row r="497">
      <c r="B497" s="119"/>
      <c r="S497" s="124"/>
    </row>
    <row r="498">
      <c r="B498" s="119"/>
      <c r="S498" s="124"/>
    </row>
    <row r="499">
      <c r="B499" s="119"/>
      <c r="S499" s="124"/>
    </row>
    <row r="500">
      <c r="B500" s="119"/>
      <c r="S500" s="124"/>
    </row>
    <row r="501">
      <c r="B501" s="119"/>
      <c r="S501" s="124"/>
    </row>
    <row r="502">
      <c r="B502" s="119"/>
      <c r="S502" s="124"/>
    </row>
    <row r="503">
      <c r="B503" s="119"/>
      <c r="S503" s="124"/>
    </row>
    <row r="504">
      <c r="B504" s="119"/>
      <c r="S504" s="124"/>
    </row>
    <row r="505">
      <c r="B505" s="119"/>
      <c r="S505" s="124"/>
    </row>
    <row r="506">
      <c r="B506" s="119"/>
      <c r="S506" s="124"/>
    </row>
    <row r="507">
      <c r="B507" s="119"/>
      <c r="S507" s="124"/>
    </row>
    <row r="508">
      <c r="B508" s="119"/>
      <c r="S508" s="124"/>
    </row>
    <row r="509">
      <c r="B509" s="119"/>
      <c r="S509" s="124"/>
    </row>
    <row r="510">
      <c r="B510" s="119"/>
      <c r="S510" s="124"/>
    </row>
    <row r="511">
      <c r="B511" s="119"/>
      <c r="S511" s="124"/>
    </row>
    <row r="512">
      <c r="B512" s="119"/>
      <c r="S512" s="124"/>
    </row>
    <row r="513">
      <c r="B513" s="119"/>
      <c r="S513" s="124"/>
    </row>
    <row r="514">
      <c r="B514" s="119"/>
      <c r="S514" s="124"/>
    </row>
    <row r="515">
      <c r="B515" s="119"/>
      <c r="S515" s="124"/>
    </row>
    <row r="516">
      <c r="B516" s="119"/>
      <c r="S516" s="124"/>
    </row>
    <row r="517">
      <c r="B517" s="119"/>
      <c r="S517" s="124"/>
    </row>
    <row r="518">
      <c r="B518" s="119"/>
      <c r="S518" s="124"/>
    </row>
    <row r="519">
      <c r="B519" s="119"/>
      <c r="S519" s="124"/>
    </row>
    <row r="520">
      <c r="B520" s="119"/>
      <c r="S520" s="124"/>
    </row>
    <row r="521">
      <c r="B521" s="119"/>
      <c r="S521" s="124"/>
    </row>
    <row r="522">
      <c r="B522" s="119"/>
      <c r="S522" s="124"/>
    </row>
    <row r="523">
      <c r="B523" s="119"/>
      <c r="S523" s="124"/>
    </row>
    <row r="524">
      <c r="B524" s="119"/>
      <c r="S524" s="124"/>
    </row>
    <row r="525">
      <c r="B525" s="119"/>
      <c r="S525" s="124"/>
    </row>
    <row r="526">
      <c r="B526" s="119"/>
      <c r="S526" s="124"/>
    </row>
    <row r="527">
      <c r="B527" s="119"/>
      <c r="S527" s="124"/>
    </row>
    <row r="528">
      <c r="B528" s="119"/>
      <c r="S528" s="124"/>
    </row>
    <row r="529">
      <c r="B529" s="119"/>
      <c r="S529" s="124"/>
    </row>
    <row r="530">
      <c r="B530" s="119"/>
      <c r="S530" s="124"/>
    </row>
    <row r="531">
      <c r="B531" s="119"/>
      <c r="S531" s="124"/>
    </row>
    <row r="532">
      <c r="B532" s="119"/>
      <c r="S532" s="124"/>
    </row>
    <row r="533">
      <c r="B533" s="119"/>
      <c r="S533" s="124"/>
    </row>
    <row r="534">
      <c r="B534" s="119"/>
      <c r="S534" s="124"/>
    </row>
    <row r="535">
      <c r="B535" s="119"/>
      <c r="S535" s="124"/>
    </row>
    <row r="536">
      <c r="B536" s="119"/>
      <c r="S536" s="124"/>
    </row>
    <row r="537">
      <c r="B537" s="119"/>
      <c r="S537" s="124"/>
    </row>
    <row r="538">
      <c r="B538" s="119"/>
      <c r="S538" s="124"/>
    </row>
    <row r="539">
      <c r="B539" s="119"/>
      <c r="S539" s="124"/>
    </row>
    <row r="540">
      <c r="B540" s="119"/>
      <c r="S540" s="124"/>
    </row>
    <row r="541">
      <c r="B541" s="119"/>
      <c r="S541" s="124"/>
    </row>
    <row r="542">
      <c r="B542" s="119"/>
      <c r="S542" s="124"/>
    </row>
    <row r="543">
      <c r="B543" s="119"/>
      <c r="S543" s="124"/>
    </row>
    <row r="544">
      <c r="B544" s="119"/>
      <c r="S544" s="124"/>
    </row>
    <row r="545">
      <c r="B545" s="119"/>
      <c r="S545" s="124"/>
    </row>
    <row r="546">
      <c r="B546" s="119"/>
      <c r="S546" s="124"/>
    </row>
    <row r="547">
      <c r="B547" s="119"/>
      <c r="S547" s="124"/>
    </row>
    <row r="548">
      <c r="B548" s="119"/>
      <c r="S548" s="124"/>
    </row>
    <row r="549">
      <c r="B549" s="119"/>
      <c r="S549" s="124"/>
    </row>
    <row r="550">
      <c r="B550" s="119"/>
      <c r="S550" s="124"/>
    </row>
    <row r="551">
      <c r="B551" s="119"/>
      <c r="S551" s="124"/>
    </row>
    <row r="552">
      <c r="B552" s="119"/>
      <c r="S552" s="124"/>
    </row>
    <row r="553">
      <c r="B553" s="119"/>
      <c r="S553" s="124"/>
    </row>
    <row r="554">
      <c r="B554" s="119"/>
      <c r="S554" s="124"/>
    </row>
    <row r="555">
      <c r="B555" s="119"/>
      <c r="S555" s="124"/>
    </row>
    <row r="556">
      <c r="B556" s="119"/>
      <c r="S556" s="124"/>
    </row>
    <row r="557">
      <c r="B557" s="119"/>
      <c r="S557" s="124"/>
    </row>
    <row r="558">
      <c r="B558" s="119"/>
      <c r="S558" s="124"/>
    </row>
    <row r="559">
      <c r="B559" s="119"/>
      <c r="S559" s="124"/>
    </row>
    <row r="560">
      <c r="B560" s="119"/>
      <c r="S560" s="124"/>
    </row>
    <row r="561">
      <c r="B561" s="119"/>
      <c r="S561" s="124"/>
    </row>
    <row r="562">
      <c r="B562" s="119"/>
      <c r="S562" s="124"/>
    </row>
    <row r="563">
      <c r="B563" s="119"/>
      <c r="S563" s="124"/>
    </row>
    <row r="564">
      <c r="B564" s="119"/>
      <c r="S564" s="124"/>
    </row>
    <row r="565">
      <c r="B565" s="119"/>
      <c r="S565" s="124"/>
    </row>
    <row r="566">
      <c r="B566" s="119"/>
      <c r="S566" s="124"/>
    </row>
    <row r="567">
      <c r="B567" s="119"/>
      <c r="S567" s="124"/>
    </row>
    <row r="568">
      <c r="B568" s="119"/>
      <c r="S568" s="124"/>
    </row>
    <row r="569">
      <c r="B569" s="119"/>
      <c r="S569" s="124"/>
    </row>
    <row r="570">
      <c r="B570" s="119"/>
      <c r="S570" s="124"/>
    </row>
    <row r="571">
      <c r="B571" s="119"/>
      <c r="S571" s="124"/>
    </row>
    <row r="572">
      <c r="B572" s="119"/>
      <c r="S572" s="124"/>
    </row>
    <row r="573">
      <c r="B573" s="119"/>
      <c r="S573" s="124"/>
    </row>
    <row r="574">
      <c r="B574" s="119"/>
      <c r="S574" s="124"/>
    </row>
    <row r="575">
      <c r="B575" s="119"/>
      <c r="S575" s="124"/>
    </row>
    <row r="576">
      <c r="B576" s="119"/>
      <c r="S576" s="124"/>
    </row>
    <row r="577">
      <c r="B577" s="119"/>
      <c r="S577" s="124"/>
    </row>
    <row r="578">
      <c r="B578" s="119"/>
      <c r="S578" s="124"/>
    </row>
    <row r="579">
      <c r="B579" s="119"/>
      <c r="S579" s="124"/>
    </row>
    <row r="580">
      <c r="B580" s="119"/>
      <c r="S580" s="124"/>
    </row>
    <row r="581">
      <c r="B581" s="119"/>
      <c r="S581" s="124"/>
    </row>
    <row r="582">
      <c r="B582" s="119"/>
      <c r="S582" s="124"/>
    </row>
    <row r="583">
      <c r="B583" s="119"/>
      <c r="S583" s="124"/>
    </row>
    <row r="584">
      <c r="B584" s="119"/>
      <c r="S584" s="124"/>
    </row>
    <row r="585">
      <c r="B585" s="119"/>
      <c r="S585" s="124"/>
    </row>
    <row r="586">
      <c r="B586" s="119"/>
      <c r="S586" s="124"/>
    </row>
    <row r="587">
      <c r="B587" s="119"/>
      <c r="S587" s="124"/>
    </row>
    <row r="588">
      <c r="B588" s="119"/>
      <c r="S588" s="124"/>
    </row>
    <row r="589">
      <c r="B589" s="119"/>
      <c r="S589" s="124"/>
    </row>
    <row r="590">
      <c r="B590" s="119"/>
      <c r="S590" s="124"/>
    </row>
    <row r="591">
      <c r="B591" s="119"/>
      <c r="S591" s="124"/>
    </row>
    <row r="592">
      <c r="B592" s="119"/>
      <c r="S592" s="124"/>
    </row>
    <row r="593">
      <c r="B593" s="119"/>
      <c r="S593" s="124"/>
    </row>
    <row r="594">
      <c r="B594" s="119"/>
      <c r="S594" s="124"/>
    </row>
    <row r="595">
      <c r="B595" s="119"/>
      <c r="S595" s="124"/>
    </row>
    <row r="596">
      <c r="B596" s="119"/>
      <c r="S596" s="124"/>
    </row>
    <row r="597">
      <c r="B597" s="119"/>
      <c r="S597" s="124"/>
    </row>
    <row r="598">
      <c r="B598" s="119"/>
      <c r="S598" s="124"/>
    </row>
    <row r="599">
      <c r="B599" s="119"/>
      <c r="S599" s="124"/>
    </row>
    <row r="600">
      <c r="B600" s="119"/>
      <c r="S600" s="124"/>
    </row>
    <row r="601">
      <c r="B601" s="119"/>
      <c r="S601" s="124"/>
    </row>
    <row r="602">
      <c r="B602" s="119"/>
      <c r="S602" s="124"/>
    </row>
    <row r="603">
      <c r="B603" s="119"/>
      <c r="S603" s="124"/>
    </row>
    <row r="604">
      <c r="B604" s="119"/>
      <c r="S604" s="124"/>
    </row>
    <row r="605">
      <c r="B605" s="119"/>
      <c r="S605" s="124"/>
    </row>
    <row r="606">
      <c r="B606" s="119"/>
      <c r="S606" s="124"/>
    </row>
    <row r="607">
      <c r="B607" s="119"/>
      <c r="S607" s="124"/>
    </row>
    <row r="608">
      <c r="B608" s="119"/>
      <c r="S608" s="124"/>
    </row>
    <row r="609">
      <c r="B609" s="119"/>
      <c r="S609" s="124"/>
    </row>
    <row r="610">
      <c r="B610" s="119"/>
      <c r="S610" s="124"/>
    </row>
    <row r="611">
      <c r="B611" s="119"/>
      <c r="S611" s="124"/>
    </row>
    <row r="612">
      <c r="B612" s="119"/>
      <c r="S612" s="124"/>
    </row>
    <row r="613">
      <c r="B613" s="119"/>
      <c r="S613" s="124"/>
    </row>
    <row r="614">
      <c r="B614" s="119"/>
      <c r="S614" s="124"/>
    </row>
    <row r="615">
      <c r="B615" s="119"/>
      <c r="S615" s="124"/>
    </row>
    <row r="616">
      <c r="B616" s="119"/>
      <c r="S616" s="124"/>
    </row>
    <row r="617">
      <c r="B617" s="119"/>
      <c r="S617" s="124"/>
    </row>
    <row r="618">
      <c r="B618" s="119"/>
      <c r="S618" s="124"/>
    </row>
    <row r="619">
      <c r="B619" s="119"/>
      <c r="S619" s="124"/>
    </row>
    <row r="620">
      <c r="B620" s="119"/>
      <c r="S620" s="124"/>
    </row>
    <row r="621">
      <c r="B621" s="119"/>
      <c r="S621" s="124"/>
    </row>
    <row r="622">
      <c r="B622" s="119"/>
      <c r="S622" s="124"/>
    </row>
    <row r="623">
      <c r="B623" s="119"/>
      <c r="S623" s="124"/>
    </row>
    <row r="624">
      <c r="B624" s="119"/>
      <c r="S624" s="124"/>
    </row>
    <row r="625">
      <c r="B625" s="119"/>
      <c r="S625" s="124"/>
    </row>
    <row r="626">
      <c r="B626" s="119"/>
      <c r="S626" s="124"/>
    </row>
    <row r="627">
      <c r="B627" s="119"/>
      <c r="S627" s="124"/>
    </row>
    <row r="628">
      <c r="B628" s="119"/>
      <c r="S628" s="124"/>
    </row>
    <row r="629">
      <c r="B629" s="119"/>
      <c r="S629" s="124"/>
    </row>
    <row r="630">
      <c r="B630" s="119"/>
      <c r="S630" s="124"/>
    </row>
    <row r="631">
      <c r="B631" s="119"/>
      <c r="S631" s="124"/>
    </row>
    <row r="632">
      <c r="B632" s="119"/>
      <c r="S632" s="124"/>
    </row>
    <row r="633">
      <c r="B633" s="119"/>
      <c r="S633" s="124"/>
    </row>
    <row r="634">
      <c r="B634" s="119"/>
      <c r="S634" s="124"/>
    </row>
    <row r="635">
      <c r="B635" s="119"/>
      <c r="S635" s="124"/>
    </row>
    <row r="636">
      <c r="B636" s="119"/>
      <c r="S636" s="124"/>
    </row>
    <row r="637">
      <c r="B637" s="119"/>
      <c r="S637" s="124"/>
    </row>
    <row r="638">
      <c r="B638" s="119"/>
      <c r="S638" s="124"/>
    </row>
    <row r="639">
      <c r="B639" s="119"/>
      <c r="S639" s="124"/>
    </row>
    <row r="640">
      <c r="B640" s="119"/>
      <c r="S640" s="124"/>
    </row>
    <row r="641">
      <c r="B641" s="119"/>
      <c r="S641" s="124"/>
    </row>
    <row r="642">
      <c r="B642" s="119"/>
      <c r="S642" s="124"/>
    </row>
    <row r="643">
      <c r="B643" s="119"/>
      <c r="S643" s="124"/>
    </row>
    <row r="644">
      <c r="B644" s="119"/>
      <c r="S644" s="124"/>
    </row>
    <row r="645">
      <c r="B645" s="119"/>
      <c r="S645" s="124"/>
    </row>
    <row r="646">
      <c r="B646" s="119"/>
      <c r="S646" s="124"/>
    </row>
    <row r="647">
      <c r="B647" s="119"/>
      <c r="S647" s="124"/>
    </row>
    <row r="648">
      <c r="B648" s="119"/>
      <c r="S648" s="124"/>
    </row>
    <row r="649">
      <c r="B649" s="119"/>
      <c r="S649" s="124"/>
    </row>
    <row r="650">
      <c r="B650" s="119"/>
      <c r="S650" s="124"/>
    </row>
    <row r="651">
      <c r="B651" s="119"/>
      <c r="S651" s="124"/>
    </row>
    <row r="652">
      <c r="B652" s="119"/>
      <c r="S652" s="124"/>
    </row>
    <row r="653">
      <c r="B653" s="119"/>
      <c r="S653" s="124"/>
    </row>
    <row r="654">
      <c r="B654" s="119"/>
      <c r="S654" s="124"/>
    </row>
    <row r="655">
      <c r="B655" s="119"/>
      <c r="S655" s="124"/>
    </row>
    <row r="656">
      <c r="B656" s="119"/>
      <c r="S656" s="124"/>
    </row>
    <row r="657">
      <c r="B657" s="119"/>
      <c r="S657" s="124"/>
    </row>
    <row r="658">
      <c r="B658" s="119"/>
      <c r="S658" s="124"/>
    </row>
    <row r="659">
      <c r="B659" s="119"/>
      <c r="S659" s="124"/>
    </row>
    <row r="660">
      <c r="B660" s="119"/>
      <c r="S660" s="124"/>
    </row>
    <row r="661">
      <c r="B661" s="119"/>
      <c r="S661" s="124"/>
    </row>
    <row r="662">
      <c r="B662" s="119"/>
      <c r="S662" s="124"/>
    </row>
    <row r="663">
      <c r="B663" s="119"/>
      <c r="S663" s="124"/>
    </row>
    <row r="664">
      <c r="B664" s="119"/>
      <c r="S664" s="124"/>
    </row>
    <row r="665">
      <c r="B665" s="119"/>
      <c r="S665" s="124"/>
    </row>
    <row r="666">
      <c r="B666" s="119"/>
      <c r="S666" s="124"/>
    </row>
    <row r="667">
      <c r="B667" s="119"/>
      <c r="S667" s="124"/>
    </row>
    <row r="668">
      <c r="B668" s="119"/>
      <c r="S668" s="124"/>
    </row>
    <row r="669">
      <c r="B669" s="119"/>
      <c r="S669" s="124"/>
    </row>
    <row r="670">
      <c r="B670" s="119"/>
      <c r="S670" s="124"/>
    </row>
    <row r="671">
      <c r="B671" s="119"/>
      <c r="S671" s="124"/>
    </row>
    <row r="672">
      <c r="B672" s="119"/>
      <c r="S672" s="124"/>
    </row>
    <row r="673">
      <c r="B673" s="119"/>
      <c r="S673" s="124"/>
    </row>
    <row r="674">
      <c r="B674" s="119"/>
      <c r="S674" s="124"/>
    </row>
    <row r="675">
      <c r="B675" s="119"/>
      <c r="S675" s="124"/>
    </row>
    <row r="676">
      <c r="B676" s="119"/>
      <c r="S676" s="124"/>
    </row>
    <row r="677">
      <c r="B677" s="119"/>
      <c r="S677" s="124"/>
    </row>
    <row r="678">
      <c r="B678" s="119"/>
      <c r="S678" s="124"/>
    </row>
    <row r="679">
      <c r="B679" s="119"/>
      <c r="S679" s="124"/>
    </row>
    <row r="680">
      <c r="B680" s="119"/>
      <c r="S680" s="124"/>
    </row>
    <row r="681">
      <c r="B681" s="119"/>
      <c r="S681" s="124"/>
    </row>
    <row r="682">
      <c r="B682" s="119"/>
      <c r="S682" s="124"/>
    </row>
    <row r="683">
      <c r="B683" s="119"/>
      <c r="S683" s="124"/>
    </row>
    <row r="684">
      <c r="B684" s="119"/>
      <c r="S684" s="124"/>
    </row>
    <row r="685">
      <c r="B685" s="119"/>
      <c r="S685" s="124"/>
    </row>
    <row r="686">
      <c r="B686" s="119"/>
      <c r="S686" s="124"/>
    </row>
    <row r="687">
      <c r="B687" s="119"/>
      <c r="S687" s="124"/>
    </row>
    <row r="688">
      <c r="B688" s="119"/>
      <c r="S688" s="124"/>
    </row>
    <row r="689">
      <c r="B689" s="119"/>
      <c r="S689" s="124"/>
    </row>
    <row r="690">
      <c r="B690" s="119"/>
      <c r="S690" s="124"/>
    </row>
    <row r="691">
      <c r="B691" s="119"/>
      <c r="S691" s="124"/>
    </row>
    <row r="692">
      <c r="B692" s="119"/>
      <c r="S692" s="124"/>
    </row>
    <row r="693">
      <c r="B693" s="119"/>
      <c r="S693" s="124"/>
    </row>
    <row r="694">
      <c r="B694" s="119"/>
      <c r="S694" s="124"/>
    </row>
    <row r="695">
      <c r="B695" s="119"/>
      <c r="S695" s="124"/>
    </row>
    <row r="696">
      <c r="B696" s="119"/>
      <c r="S696" s="124"/>
    </row>
    <row r="697">
      <c r="B697" s="119"/>
      <c r="S697" s="124"/>
    </row>
    <row r="698">
      <c r="B698" s="119"/>
      <c r="S698" s="124"/>
    </row>
    <row r="699">
      <c r="B699" s="119"/>
      <c r="S699" s="124"/>
    </row>
    <row r="700">
      <c r="B700" s="119"/>
      <c r="S700" s="124"/>
    </row>
    <row r="701">
      <c r="B701" s="119"/>
      <c r="S701" s="124"/>
    </row>
    <row r="702">
      <c r="B702" s="119"/>
      <c r="S702" s="124"/>
    </row>
    <row r="703">
      <c r="B703" s="119"/>
      <c r="S703" s="124"/>
    </row>
    <row r="704">
      <c r="B704" s="119"/>
      <c r="S704" s="124"/>
    </row>
    <row r="705">
      <c r="B705" s="119"/>
      <c r="S705" s="124"/>
    </row>
    <row r="706">
      <c r="B706" s="119"/>
      <c r="S706" s="124"/>
    </row>
    <row r="707">
      <c r="B707" s="119"/>
      <c r="S707" s="124"/>
    </row>
    <row r="708">
      <c r="B708" s="119"/>
      <c r="S708" s="124"/>
    </row>
    <row r="709">
      <c r="B709" s="119"/>
      <c r="S709" s="124"/>
    </row>
    <row r="710">
      <c r="B710" s="119"/>
      <c r="S710" s="124"/>
    </row>
    <row r="711">
      <c r="B711" s="119"/>
      <c r="S711" s="124"/>
    </row>
    <row r="712">
      <c r="B712" s="119"/>
      <c r="S712" s="124"/>
    </row>
    <row r="713">
      <c r="B713" s="119"/>
      <c r="S713" s="124"/>
    </row>
    <row r="714">
      <c r="B714" s="119"/>
      <c r="S714" s="124"/>
    </row>
    <row r="715">
      <c r="B715" s="119"/>
      <c r="S715" s="124"/>
    </row>
    <row r="716">
      <c r="B716" s="119"/>
      <c r="S716" s="124"/>
    </row>
    <row r="717">
      <c r="B717" s="119"/>
      <c r="S717" s="124"/>
    </row>
    <row r="718">
      <c r="B718" s="119"/>
      <c r="S718" s="124"/>
    </row>
    <row r="719">
      <c r="B719" s="119"/>
      <c r="S719" s="124"/>
    </row>
    <row r="720">
      <c r="B720" s="119"/>
      <c r="S720" s="124"/>
    </row>
    <row r="721">
      <c r="B721" s="119"/>
      <c r="S721" s="124"/>
    </row>
    <row r="722">
      <c r="B722" s="119"/>
      <c r="S722" s="124"/>
    </row>
    <row r="723">
      <c r="B723" s="119"/>
      <c r="S723" s="124"/>
    </row>
    <row r="724">
      <c r="B724" s="119"/>
      <c r="S724" s="124"/>
    </row>
    <row r="725">
      <c r="B725" s="119"/>
      <c r="S725" s="124"/>
    </row>
    <row r="726">
      <c r="B726" s="119"/>
      <c r="S726" s="124"/>
    </row>
    <row r="727">
      <c r="B727" s="119"/>
      <c r="S727" s="124"/>
    </row>
    <row r="728">
      <c r="B728" s="119"/>
      <c r="S728" s="124"/>
    </row>
    <row r="729">
      <c r="B729" s="119"/>
      <c r="S729" s="124"/>
    </row>
    <row r="730">
      <c r="B730" s="119"/>
      <c r="S730" s="124"/>
    </row>
    <row r="731">
      <c r="B731" s="119"/>
      <c r="S731" s="124"/>
    </row>
    <row r="732">
      <c r="B732" s="119"/>
      <c r="S732" s="124"/>
    </row>
    <row r="733">
      <c r="B733" s="119"/>
      <c r="S733" s="124"/>
    </row>
    <row r="734">
      <c r="B734" s="119"/>
      <c r="S734" s="124"/>
    </row>
    <row r="735">
      <c r="B735" s="119"/>
      <c r="S735" s="124"/>
    </row>
    <row r="736">
      <c r="B736" s="119"/>
      <c r="S736" s="124"/>
    </row>
    <row r="737">
      <c r="B737" s="119"/>
      <c r="S737" s="124"/>
    </row>
    <row r="738">
      <c r="B738" s="119"/>
      <c r="S738" s="124"/>
    </row>
    <row r="739">
      <c r="B739" s="119"/>
      <c r="S739" s="124"/>
    </row>
    <row r="740">
      <c r="B740" s="119"/>
      <c r="S740" s="124"/>
    </row>
    <row r="741">
      <c r="B741" s="119"/>
      <c r="S741" s="124"/>
    </row>
    <row r="742">
      <c r="B742" s="119"/>
      <c r="S742" s="124"/>
    </row>
    <row r="743">
      <c r="B743" s="119"/>
      <c r="S743" s="124"/>
    </row>
    <row r="744">
      <c r="B744" s="119"/>
      <c r="S744" s="124"/>
    </row>
    <row r="745">
      <c r="B745" s="119"/>
      <c r="S745" s="124"/>
    </row>
    <row r="746">
      <c r="B746" s="119"/>
      <c r="S746" s="124"/>
    </row>
    <row r="747">
      <c r="B747" s="119"/>
      <c r="S747" s="124"/>
    </row>
    <row r="748">
      <c r="B748" s="119"/>
      <c r="S748" s="124"/>
    </row>
    <row r="749">
      <c r="B749" s="119"/>
      <c r="S749" s="124"/>
    </row>
    <row r="750">
      <c r="B750" s="119"/>
      <c r="S750" s="124"/>
    </row>
    <row r="751">
      <c r="B751" s="119"/>
      <c r="S751" s="124"/>
    </row>
    <row r="752">
      <c r="B752" s="119"/>
      <c r="S752" s="124"/>
    </row>
    <row r="753">
      <c r="B753" s="119"/>
      <c r="S753" s="124"/>
    </row>
    <row r="754">
      <c r="B754" s="119"/>
      <c r="S754" s="124"/>
    </row>
    <row r="755">
      <c r="B755" s="119"/>
      <c r="S755" s="124"/>
    </row>
    <row r="756">
      <c r="B756" s="119"/>
      <c r="S756" s="124"/>
    </row>
    <row r="757">
      <c r="B757" s="119"/>
      <c r="S757" s="124"/>
    </row>
    <row r="758">
      <c r="B758" s="119"/>
      <c r="S758" s="124"/>
    </row>
    <row r="759">
      <c r="B759" s="119"/>
      <c r="S759" s="124"/>
    </row>
    <row r="760">
      <c r="B760" s="119"/>
      <c r="S760" s="124"/>
    </row>
    <row r="761">
      <c r="B761" s="119"/>
      <c r="S761" s="124"/>
    </row>
    <row r="762">
      <c r="B762" s="119"/>
      <c r="S762" s="124"/>
    </row>
    <row r="763">
      <c r="B763" s="119"/>
      <c r="S763" s="124"/>
    </row>
    <row r="764">
      <c r="B764" s="119"/>
      <c r="S764" s="124"/>
    </row>
    <row r="765">
      <c r="B765" s="119"/>
      <c r="S765" s="124"/>
    </row>
    <row r="766">
      <c r="B766" s="119"/>
      <c r="S766" s="124"/>
    </row>
    <row r="767">
      <c r="B767" s="119"/>
      <c r="S767" s="124"/>
    </row>
    <row r="768">
      <c r="B768" s="119"/>
      <c r="S768" s="124"/>
    </row>
    <row r="769">
      <c r="B769" s="119"/>
      <c r="S769" s="124"/>
    </row>
    <row r="770">
      <c r="B770" s="119"/>
      <c r="S770" s="124"/>
    </row>
    <row r="771">
      <c r="B771" s="119"/>
      <c r="S771" s="124"/>
    </row>
    <row r="772">
      <c r="B772" s="119"/>
      <c r="S772" s="124"/>
    </row>
    <row r="773">
      <c r="B773" s="119"/>
      <c r="S773" s="124"/>
    </row>
    <row r="774">
      <c r="B774" s="119"/>
      <c r="S774" s="124"/>
    </row>
    <row r="775">
      <c r="B775" s="119"/>
      <c r="S775" s="124"/>
    </row>
    <row r="776">
      <c r="B776" s="119"/>
      <c r="S776" s="124"/>
    </row>
    <row r="777">
      <c r="B777" s="119"/>
      <c r="S777" s="124"/>
    </row>
    <row r="778">
      <c r="B778" s="119"/>
      <c r="S778" s="124"/>
    </row>
    <row r="779">
      <c r="B779" s="119"/>
      <c r="S779" s="124"/>
    </row>
    <row r="780">
      <c r="B780" s="119"/>
      <c r="S780" s="124"/>
    </row>
    <row r="781">
      <c r="B781" s="119"/>
      <c r="S781" s="124"/>
    </row>
    <row r="782">
      <c r="B782" s="119"/>
      <c r="S782" s="124"/>
    </row>
    <row r="783">
      <c r="B783" s="119"/>
      <c r="S783" s="124"/>
    </row>
    <row r="784">
      <c r="B784" s="119"/>
      <c r="S784" s="124"/>
    </row>
    <row r="785">
      <c r="B785" s="119"/>
      <c r="S785" s="124"/>
    </row>
    <row r="786">
      <c r="B786" s="119"/>
      <c r="S786" s="124"/>
    </row>
    <row r="787">
      <c r="B787" s="119"/>
      <c r="S787" s="124"/>
    </row>
    <row r="788">
      <c r="B788" s="119"/>
      <c r="S788" s="124"/>
    </row>
    <row r="789">
      <c r="B789" s="119"/>
      <c r="S789" s="124"/>
    </row>
    <row r="790">
      <c r="B790" s="119"/>
      <c r="S790" s="124"/>
    </row>
    <row r="791">
      <c r="B791" s="119"/>
      <c r="S791" s="124"/>
    </row>
    <row r="792">
      <c r="B792" s="119"/>
      <c r="S792" s="124"/>
    </row>
    <row r="793">
      <c r="B793" s="119"/>
      <c r="S793" s="124"/>
    </row>
    <row r="794">
      <c r="B794" s="119"/>
      <c r="S794" s="124"/>
    </row>
    <row r="795">
      <c r="B795" s="119"/>
      <c r="S795" s="124"/>
    </row>
    <row r="796">
      <c r="B796" s="119"/>
      <c r="S796" s="124"/>
    </row>
    <row r="797">
      <c r="B797" s="119"/>
      <c r="S797" s="124"/>
    </row>
    <row r="798">
      <c r="B798" s="119"/>
      <c r="S798" s="124"/>
    </row>
    <row r="799">
      <c r="B799" s="119"/>
      <c r="S799" s="124"/>
    </row>
    <row r="800">
      <c r="B800" s="119"/>
      <c r="S800" s="124"/>
    </row>
    <row r="801">
      <c r="B801" s="119"/>
      <c r="S801" s="124"/>
    </row>
    <row r="802">
      <c r="B802" s="119"/>
      <c r="S802" s="124"/>
    </row>
    <row r="803">
      <c r="B803" s="119"/>
      <c r="S803" s="124"/>
    </row>
    <row r="804">
      <c r="B804" s="119"/>
      <c r="S804" s="124"/>
    </row>
    <row r="805">
      <c r="B805" s="119"/>
      <c r="S805" s="124"/>
    </row>
    <row r="806">
      <c r="B806" s="119"/>
      <c r="S806" s="124"/>
    </row>
    <row r="807">
      <c r="B807" s="119"/>
      <c r="S807" s="124"/>
    </row>
    <row r="808">
      <c r="B808" s="119"/>
      <c r="S808" s="124"/>
    </row>
    <row r="809">
      <c r="B809" s="119"/>
      <c r="S809" s="124"/>
    </row>
    <row r="810">
      <c r="B810" s="119"/>
      <c r="S810" s="124"/>
    </row>
    <row r="811">
      <c r="B811" s="119"/>
      <c r="S811" s="124"/>
    </row>
    <row r="812">
      <c r="B812" s="119"/>
      <c r="S812" s="124"/>
    </row>
    <row r="813">
      <c r="B813" s="119"/>
      <c r="S813" s="124"/>
    </row>
    <row r="814">
      <c r="B814" s="119"/>
      <c r="S814" s="124"/>
    </row>
    <row r="815">
      <c r="B815" s="119"/>
      <c r="S815" s="124"/>
    </row>
    <row r="816">
      <c r="B816" s="119"/>
      <c r="S816" s="124"/>
    </row>
    <row r="817">
      <c r="B817" s="119"/>
      <c r="S817" s="124"/>
    </row>
    <row r="818">
      <c r="B818" s="119"/>
      <c r="S818" s="124"/>
    </row>
    <row r="819">
      <c r="B819" s="119"/>
      <c r="S819" s="124"/>
    </row>
    <row r="820">
      <c r="B820" s="119"/>
      <c r="S820" s="124"/>
    </row>
    <row r="821">
      <c r="B821" s="119"/>
      <c r="S821" s="124"/>
    </row>
    <row r="822">
      <c r="B822" s="119"/>
      <c r="S822" s="124"/>
    </row>
    <row r="823">
      <c r="B823" s="119"/>
      <c r="S823" s="124"/>
    </row>
    <row r="824">
      <c r="B824" s="119"/>
      <c r="S824" s="124"/>
    </row>
    <row r="825">
      <c r="B825" s="119"/>
      <c r="S825" s="124"/>
    </row>
    <row r="826">
      <c r="B826" s="119"/>
      <c r="S826" s="124"/>
    </row>
    <row r="827">
      <c r="B827" s="119"/>
      <c r="S827" s="124"/>
    </row>
    <row r="828">
      <c r="B828" s="119"/>
      <c r="S828" s="124"/>
    </row>
    <row r="829">
      <c r="B829" s="119"/>
      <c r="S829" s="124"/>
    </row>
    <row r="830">
      <c r="B830" s="119"/>
      <c r="S830" s="124"/>
    </row>
    <row r="831">
      <c r="B831" s="119"/>
      <c r="S831" s="124"/>
    </row>
    <row r="832">
      <c r="B832" s="119"/>
      <c r="S832" s="124"/>
    </row>
    <row r="833">
      <c r="B833" s="119"/>
      <c r="S833" s="124"/>
    </row>
    <row r="834">
      <c r="B834" s="119"/>
      <c r="S834" s="124"/>
    </row>
    <row r="835">
      <c r="B835" s="119"/>
      <c r="S835" s="124"/>
    </row>
    <row r="836">
      <c r="B836" s="119"/>
      <c r="S836" s="124"/>
    </row>
    <row r="837">
      <c r="B837" s="119"/>
      <c r="S837" s="124"/>
    </row>
    <row r="838">
      <c r="B838" s="119"/>
      <c r="S838" s="124"/>
    </row>
    <row r="839">
      <c r="B839" s="119"/>
      <c r="S839" s="124"/>
    </row>
    <row r="840">
      <c r="B840" s="119"/>
      <c r="S840" s="124"/>
    </row>
    <row r="841">
      <c r="B841" s="119"/>
      <c r="S841" s="124"/>
    </row>
    <row r="842">
      <c r="B842" s="119"/>
      <c r="S842" s="124"/>
    </row>
    <row r="843">
      <c r="B843" s="119"/>
      <c r="S843" s="124"/>
    </row>
    <row r="844">
      <c r="B844" s="119"/>
      <c r="S844" s="124"/>
    </row>
    <row r="845">
      <c r="B845" s="119"/>
      <c r="S845" s="124"/>
    </row>
    <row r="846">
      <c r="B846" s="119"/>
      <c r="S846" s="124"/>
    </row>
    <row r="847">
      <c r="B847" s="119"/>
      <c r="S847" s="124"/>
    </row>
    <row r="848">
      <c r="B848" s="119"/>
      <c r="S848" s="124"/>
    </row>
    <row r="849">
      <c r="B849" s="119"/>
      <c r="S849" s="124"/>
    </row>
    <row r="850">
      <c r="B850" s="119"/>
      <c r="S850" s="124"/>
    </row>
    <row r="851">
      <c r="B851" s="119"/>
      <c r="S851" s="124"/>
    </row>
    <row r="852">
      <c r="B852" s="119"/>
      <c r="S852" s="124"/>
    </row>
    <row r="853">
      <c r="B853" s="119"/>
      <c r="S853" s="124"/>
    </row>
    <row r="854">
      <c r="B854" s="119"/>
      <c r="S854" s="124"/>
    </row>
    <row r="855">
      <c r="B855" s="119"/>
      <c r="S855" s="124"/>
    </row>
    <row r="856">
      <c r="B856" s="119"/>
      <c r="S856" s="124"/>
    </row>
    <row r="857">
      <c r="B857" s="119"/>
      <c r="S857" s="124"/>
    </row>
    <row r="858">
      <c r="B858" s="119"/>
      <c r="S858" s="124"/>
    </row>
    <row r="859">
      <c r="B859" s="119"/>
      <c r="S859" s="124"/>
    </row>
    <row r="860">
      <c r="B860" s="119"/>
      <c r="S860" s="124"/>
    </row>
    <row r="861">
      <c r="B861" s="119"/>
      <c r="S861" s="124"/>
    </row>
    <row r="862">
      <c r="B862" s="119"/>
      <c r="S862" s="124"/>
    </row>
    <row r="863">
      <c r="B863" s="119"/>
      <c r="S863" s="124"/>
    </row>
    <row r="864">
      <c r="B864" s="119"/>
      <c r="S864" s="124"/>
    </row>
    <row r="865">
      <c r="B865" s="119"/>
      <c r="S865" s="124"/>
    </row>
    <row r="866">
      <c r="B866" s="119"/>
      <c r="S866" s="124"/>
    </row>
    <row r="867">
      <c r="B867" s="119"/>
      <c r="S867" s="124"/>
    </row>
    <row r="868">
      <c r="B868" s="119"/>
      <c r="S868" s="124"/>
    </row>
    <row r="869">
      <c r="B869" s="119"/>
      <c r="S869" s="124"/>
    </row>
    <row r="870">
      <c r="B870" s="119"/>
      <c r="S870" s="124"/>
    </row>
    <row r="871">
      <c r="B871" s="119"/>
      <c r="S871" s="124"/>
    </row>
    <row r="872">
      <c r="B872" s="119"/>
      <c r="S872" s="124"/>
    </row>
    <row r="873">
      <c r="B873" s="119"/>
      <c r="S873" s="124"/>
    </row>
    <row r="874">
      <c r="B874" s="119"/>
      <c r="S874" s="124"/>
    </row>
    <row r="875">
      <c r="B875" s="119"/>
      <c r="S875" s="124"/>
    </row>
    <row r="876">
      <c r="B876" s="119"/>
      <c r="S876" s="124"/>
    </row>
    <row r="877">
      <c r="B877" s="119"/>
      <c r="S877" s="124"/>
    </row>
    <row r="878">
      <c r="B878" s="119"/>
      <c r="S878" s="124"/>
    </row>
    <row r="879">
      <c r="B879" s="119"/>
      <c r="S879" s="124"/>
    </row>
    <row r="880">
      <c r="B880" s="119"/>
      <c r="S880" s="124"/>
    </row>
    <row r="881">
      <c r="B881" s="119"/>
      <c r="S881" s="124"/>
    </row>
    <row r="882">
      <c r="B882" s="119"/>
      <c r="S882" s="124"/>
    </row>
    <row r="883">
      <c r="B883" s="119"/>
      <c r="S883" s="124"/>
    </row>
    <row r="884">
      <c r="B884" s="119"/>
      <c r="S884" s="124"/>
    </row>
    <row r="885">
      <c r="B885" s="119"/>
      <c r="S885" s="124"/>
    </row>
    <row r="886">
      <c r="B886" s="119"/>
      <c r="S886" s="124"/>
    </row>
    <row r="887">
      <c r="B887" s="119"/>
      <c r="S887" s="124"/>
    </row>
    <row r="888">
      <c r="B888" s="119"/>
      <c r="S888" s="124"/>
    </row>
    <row r="889">
      <c r="B889" s="119"/>
      <c r="S889" s="124"/>
    </row>
    <row r="890">
      <c r="B890" s="119"/>
      <c r="S890" s="124"/>
    </row>
    <row r="891">
      <c r="B891" s="119"/>
      <c r="S891" s="124"/>
    </row>
    <row r="892">
      <c r="B892" s="119"/>
      <c r="S892" s="124"/>
    </row>
    <row r="893">
      <c r="B893" s="119"/>
      <c r="S893" s="124"/>
    </row>
    <row r="894">
      <c r="B894" s="119"/>
      <c r="S894" s="124"/>
    </row>
    <row r="895">
      <c r="B895" s="119"/>
      <c r="S895" s="124"/>
    </row>
    <row r="896">
      <c r="B896" s="119"/>
      <c r="S896" s="124"/>
    </row>
    <row r="897">
      <c r="B897" s="119"/>
      <c r="S897" s="124"/>
    </row>
    <row r="898">
      <c r="B898" s="119"/>
      <c r="S898" s="124"/>
    </row>
    <row r="899">
      <c r="B899" s="119"/>
      <c r="S899" s="124"/>
    </row>
    <row r="900">
      <c r="B900" s="119"/>
      <c r="S900" s="124"/>
    </row>
    <row r="901">
      <c r="B901" s="119"/>
      <c r="S901" s="124"/>
    </row>
    <row r="902">
      <c r="B902" s="119"/>
      <c r="S902" s="124"/>
    </row>
    <row r="903">
      <c r="B903" s="119"/>
      <c r="S903" s="124"/>
    </row>
    <row r="904">
      <c r="B904" s="119"/>
      <c r="S904" s="124"/>
    </row>
    <row r="905">
      <c r="B905" s="119"/>
      <c r="S905" s="124"/>
    </row>
    <row r="906">
      <c r="B906" s="119"/>
      <c r="S906" s="124"/>
    </row>
    <row r="907">
      <c r="B907" s="119"/>
      <c r="S907" s="124"/>
    </row>
    <row r="908">
      <c r="B908" s="119"/>
      <c r="S908" s="124"/>
    </row>
    <row r="909">
      <c r="B909" s="119"/>
      <c r="S909" s="124"/>
    </row>
    <row r="910">
      <c r="B910" s="119"/>
      <c r="S910" s="124"/>
    </row>
    <row r="911">
      <c r="B911" s="119"/>
      <c r="S911" s="124"/>
    </row>
    <row r="912">
      <c r="B912" s="119"/>
      <c r="S912" s="124"/>
    </row>
    <row r="913">
      <c r="B913" s="119"/>
      <c r="S913" s="124"/>
    </row>
    <row r="914">
      <c r="B914" s="119"/>
      <c r="S914" s="124"/>
    </row>
    <row r="915">
      <c r="B915" s="119"/>
      <c r="S915" s="124"/>
    </row>
    <row r="916">
      <c r="B916" s="119"/>
      <c r="S916" s="124"/>
    </row>
    <row r="917">
      <c r="B917" s="119"/>
      <c r="S917" s="124"/>
    </row>
    <row r="918">
      <c r="B918" s="119"/>
      <c r="S918" s="124"/>
    </row>
    <row r="919">
      <c r="B919" s="119"/>
      <c r="S919" s="124"/>
    </row>
    <row r="920">
      <c r="B920" s="119"/>
      <c r="S920" s="124"/>
    </row>
    <row r="921">
      <c r="B921" s="119"/>
      <c r="S921" s="124"/>
    </row>
    <row r="922">
      <c r="B922" s="119"/>
      <c r="S922" s="124"/>
    </row>
    <row r="923">
      <c r="B923" s="119"/>
      <c r="S923" s="124"/>
    </row>
    <row r="924">
      <c r="B924" s="119"/>
      <c r="S924" s="124"/>
    </row>
    <row r="925">
      <c r="B925" s="119"/>
      <c r="S925" s="124"/>
    </row>
    <row r="926">
      <c r="B926" s="119"/>
      <c r="S926" s="124"/>
    </row>
    <row r="927">
      <c r="B927" s="119"/>
      <c r="S927" s="124"/>
    </row>
    <row r="928">
      <c r="B928" s="119"/>
      <c r="S928" s="124"/>
    </row>
    <row r="929">
      <c r="B929" s="119"/>
      <c r="S929" s="124"/>
    </row>
    <row r="930">
      <c r="B930" s="119"/>
      <c r="S930" s="124"/>
    </row>
    <row r="931">
      <c r="B931" s="119"/>
      <c r="S931" s="124"/>
    </row>
    <row r="932">
      <c r="B932" s="119"/>
      <c r="S932" s="124"/>
    </row>
    <row r="933">
      <c r="B933" s="119"/>
      <c r="S933" s="124"/>
    </row>
    <row r="934">
      <c r="B934" s="119"/>
      <c r="S934" s="124"/>
    </row>
    <row r="935">
      <c r="B935" s="119"/>
      <c r="S935" s="124"/>
    </row>
    <row r="936">
      <c r="B936" s="119"/>
      <c r="S936" s="124"/>
    </row>
    <row r="937">
      <c r="B937" s="119"/>
      <c r="S937" s="124"/>
    </row>
    <row r="938">
      <c r="B938" s="119"/>
      <c r="S938" s="124"/>
    </row>
    <row r="939">
      <c r="B939" s="119"/>
      <c r="S939" s="124"/>
    </row>
    <row r="940">
      <c r="B940" s="119"/>
      <c r="S940" s="124"/>
    </row>
    <row r="941">
      <c r="B941" s="119"/>
      <c r="S941" s="124"/>
    </row>
    <row r="942">
      <c r="B942" s="119"/>
      <c r="S942" s="124"/>
    </row>
    <row r="943">
      <c r="B943" s="119"/>
      <c r="S943" s="124"/>
    </row>
    <row r="944">
      <c r="B944" s="119"/>
      <c r="S944" s="124"/>
    </row>
    <row r="945">
      <c r="B945" s="119"/>
      <c r="S945" s="124"/>
    </row>
    <row r="946">
      <c r="B946" s="119"/>
      <c r="S946" s="124"/>
    </row>
    <row r="947">
      <c r="B947" s="119"/>
      <c r="S947" s="124"/>
    </row>
    <row r="948">
      <c r="B948" s="119"/>
      <c r="S948" s="124"/>
    </row>
    <row r="949">
      <c r="B949" s="119"/>
      <c r="S949" s="124"/>
    </row>
    <row r="950">
      <c r="B950" s="119"/>
      <c r="S950" s="124"/>
    </row>
    <row r="951">
      <c r="B951" s="119"/>
      <c r="S951" s="124"/>
    </row>
    <row r="952">
      <c r="B952" s="119"/>
      <c r="S952" s="124"/>
    </row>
    <row r="953">
      <c r="B953" s="119"/>
      <c r="S953" s="124"/>
    </row>
    <row r="954">
      <c r="B954" s="119"/>
      <c r="S954" s="124"/>
    </row>
    <row r="955">
      <c r="B955" s="119"/>
      <c r="S955" s="124"/>
    </row>
    <row r="956">
      <c r="B956" s="119"/>
      <c r="S956" s="124"/>
    </row>
    <row r="957">
      <c r="B957" s="119"/>
      <c r="S957" s="124"/>
    </row>
    <row r="958">
      <c r="B958" s="119"/>
      <c r="S958" s="124"/>
    </row>
    <row r="959">
      <c r="B959" s="119"/>
      <c r="S959" s="124"/>
    </row>
    <row r="960">
      <c r="B960" s="119"/>
      <c r="S960" s="124"/>
    </row>
    <row r="961">
      <c r="B961" s="119"/>
      <c r="S961" s="124"/>
    </row>
    <row r="962">
      <c r="B962" s="119"/>
      <c r="S962" s="124"/>
    </row>
    <row r="963">
      <c r="B963" s="119"/>
      <c r="S963" s="124"/>
    </row>
    <row r="964">
      <c r="B964" s="119"/>
      <c r="S964" s="124"/>
    </row>
    <row r="965">
      <c r="B965" s="119"/>
      <c r="S965" s="124"/>
    </row>
    <row r="966">
      <c r="B966" s="119"/>
      <c r="S966" s="124"/>
    </row>
    <row r="967">
      <c r="B967" s="119"/>
      <c r="S967" s="124"/>
    </row>
    <row r="968">
      <c r="B968" s="119"/>
      <c r="S968" s="124"/>
    </row>
    <row r="969">
      <c r="B969" s="119"/>
      <c r="S969" s="124"/>
    </row>
    <row r="970">
      <c r="B970" s="119"/>
      <c r="S970" s="124"/>
    </row>
    <row r="971">
      <c r="B971" s="119"/>
      <c r="S971" s="124"/>
    </row>
    <row r="972">
      <c r="B972" s="119"/>
      <c r="S972" s="124"/>
    </row>
    <row r="973">
      <c r="B973" s="119"/>
      <c r="S973" s="124"/>
    </row>
    <row r="974">
      <c r="B974" s="119"/>
      <c r="S974" s="124"/>
    </row>
    <row r="975">
      <c r="B975" s="119"/>
      <c r="S975" s="124"/>
    </row>
    <row r="976">
      <c r="B976" s="119"/>
      <c r="S976" s="124"/>
    </row>
    <row r="977">
      <c r="B977" s="119"/>
      <c r="S977" s="124"/>
    </row>
    <row r="978">
      <c r="B978" s="119"/>
      <c r="S978" s="124"/>
    </row>
    <row r="979">
      <c r="B979" s="119"/>
      <c r="S979" s="124"/>
    </row>
    <row r="980">
      <c r="B980" s="119"/>
      <c r="S980" s="124"/>
    </row>
    <row r="981">
      <c r="B981" s="119"/>
      <c r="S981" s="124"/>
    </row>
    <row r="982">
      <c r="B982" s="119"/>
      <c r="S982" s="124"/>
    </row>
    <row r="983">
      <c r="B983" s="119"/>
      <c r="S983" s="124"/>
    </row>
    <row r="984">
      <c r="B984" s="119"/>
      <c r="S984" s="124"/>
    </row>
    <row r="985">
      <c r="B985" s="119"/>
      <c r="S985" s="124"/>
    </row>
    <row r="986">
      <c r="B986" s="119"/>
      <c r="S986" s="124"/>
    </row>
    <row r="987">
      <c r="B987" s="119"/>
      <c r="S987" s="124"/>
    </row>
    <row r="988">
      <c r="B988" s="119"/>
      <c r="S988" s="124"/>
    </row>
    <row r="989">
      <c r="B989" s="119"/>
      <c r="S989" s="124"/>
    </row>
    <row r="990">
      <c r="B990" s="119"/>
      <c r="S990" s="124"/>
    </row>
    <row r="991">
      <c r="B991" s="119"/>
      <c r="S991" s="124"/>
    </row>
    <row r="992">
      <c r="B992" s="119"/>
      <c r="S992" s="124"/>
    </row>
    <row r="993">
      <c r="B993" s="119"/>
      <c r="S993" s="124"/>
    </row>
    <row r="994">
      <c r="B994" s="119"/>
      <c r="S994" s="124"/>
    </row>
    <row r="995">
      <c r="S995" s="124"/>
    </row>
    <row r="996">
      <c r="S996" s="124"/>
    </row>
    <row r="997">
      <c r="S997" s="124"/>
    </row>
    <row r="998">
      <c r="S998" s="124"/>
    </row>
    <row r="999">
      <c r="S999" s="124"/>
    </row>
  </sheetData>
  <mergeCells count="2">
    <mergeCell ref="A1:E1"/>
    <mergeCell ref="H1:M1"/>
  </mergeCells>
  <dataValidations>
    <dataValidation type="list" allowBlank="1" showErrorMessage="1" sqref="E4:E41">
      <formula1>"Physical,Physical/Magic,Magic"</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2" width="10.13"/>
  </cols>
  <sheetData>
    <row r="2">
      <c r="A2" s="143" t="s">
        <v>15</v>
      </c>
      <c r="B2" s="143" t="s">
        <v>22</v>
      </c>
      <c r="C2" s="144"/>
      <c r="D2" s="143" t="s">
        <v>15</v>
      </c>
      <c r="E2" s="143" t="s">
        <v>29</v>
      </c>
      <c r="F2" s="143"/>
      <c r="G2" s="143" t="s">
        <v>15</v>
      </c>
      <c r="H2" s="143" t="s">
        <v>38</v>
      </c>
      <c r="I2" s="143"/>
      <c r="J2" s="143" t="s">
        <v>15</v>
      </c>
      <c r="K2" s="143" t="s">
        <v>44</v>
      </c>
      <c r="L2" s="143"/>
      <c r="M2" s="143" t="s">
        <v>15</v>
      </c>
      <c r="N2" s="143" t="s">
        <v>51</v>
      </c>
      <c r="O2" s="144"/>
      <c r="P2" s="143" t="s">
        <v>15</v>
      </c>
      <c r="Q2" s="143" t="s">
        <v>60</v>
      </c>
      <c r="R2" s="143"/>
      <c r="S2" s="143" t="s">
        <v>15</v>
      </c>
      <c r="T2" s="143" t="s">
        <v>69</v>
      </c>
      <c r="U2" s="118"/>
    </row>
    <row r="3">
      <c r="A3" s="143">
        <v>0.0</v>
      </c>
      <c r="B3" s="143">
        <v>30.0</v>
      </c>
      <c r="C3" s="144"/>
      <c r="D3" s="143">
        <v>0.0</v>
      </c>
      <c r="E3" s="143">
        <v>30.0</v>
      </c>
      <c r="F3" s="143"/>
      <c r="G3" s="143">
        <v>0.0</v>
      </c>
      <c r="H3" s="143">
        <v>20.0</v>
      </c>
      <c r="I3" s="143"/>
      <c r="J3" s="143">
        <v>0.0</v>
      </c>
      <c r="K3" s="143">
        <v>20.0</v>
      </c>
      <c r="L3" s="143"/>
      <c r="M3" s="143">
        <v>0.0</v>
      </c>
      <c r="N3" s="143">
        <v>20.0</v>
      </c>
      <c r="O3" s="144"/>
      <c r="P3" s="143">
        <v>0.0</v>
      </c>
      <c r="Q3" s="143">
        <v>15.0</v>
      </c>
      <c r="R3" s="143"/>
      <c r="S3" s="143">
        <v>0.0</v>
      </c>
      <c r="T3" s="143">
        <v>20.0</v>
      </c>
      <c r="U3" s="118"/>
    </row>
    <row r="4">
      <c r="A4" s="143">
        <v>1.0</v>
      </c>
      <c r="B4" s="143">
        <v>30.0</v>
      </c>
      <c r="C4" s="144"/>
      <c r="D4" s="143">
        <v>1.0</v>
      </c>
      <c r="E4" s="143">
        <v>35.0</v>
      </c>
      <c r="F4" s="143"/>
      <c r="G4" s="143">
        <v>1.0</v>
      </c>
      <c r="H4" s="143">
        <v>20.0</v>
      </c>
      <c r="I4" s="143"/>
      <c r="J4" s="143">
        <v>1.0</v>
      </c>
      <c r="K4" s="143">
        <v>35.0</v>
      </c>
      <c r="L4" s="143"/>
      <c r="M4" s="143">
        <v>1.0</v>
      </c>
      <c r="N4" s="143">
        <v>35.0</v>
      </c>
      <c r="O4" s="144"/>
      <c r="P4" s="143">
        <v>1.0</v>
      </c>
      <c r="Q4" s="143">
        <v>20.0</v>
      </c>
      <c r="R4" s="143"/>
      <c r="S4" s="143">
        <v>1.0</v>
      </c>
      <c r="T4" s="143">
        <v>5.0</v>
      </c>
      <c r="U4" s="118"/>
    </row>
    <row r="5">
      <c r="A5" s="143">
        <v>2.0</v>
      </c>
      <c r="B5" s="143">
        <v>20.0</v>
      </c>
      <c r="C5" s="144"/>
      <c r="D5" s="143">
        <v>2.0</v>
      </c>
      <c r="E5" s="143">
        <v>20.0</v>
      </c>
      <c r="F5" s="143"/>
      <c r="G5" s="143">
        <v>2.0</v>
      </c>
      <c r="H5" s="143">
        <v>20.0</v>
      </c>
      <c r="I5" s="143"/>
      <c r="J5" s="143">
        <v>2.0</v>
      </c>
      <c r="K5" s="143">
        <v>30.0</v>
      </c>
      <c r="L5" s="143"/>
      <c r="M5" s="143">
        <v>2.0</v>
      </c>
      <c r="N5" s="143">
        <v>25.0</v>
      </c>
      <c r="O5" s="144"/>
      <c r="P5" s="143">
        <v>2.0</v>
      </c>
      <c r="Q5" s="143">
        <v>30.0</v>
      </c>
      <c r="R5" s="143"/>
      <c r="S5" s="143">
        <v>2.0</v>
      </c>
      <c r="T5" s="143">
        <v>15.0</v>
      </c>
      <c r="U5" s="118"/>
    </row>
    <row r="6">
      <c r="A6" s="143">
        <v>3.0</v>
      </c>
      <c r="B6" s="143">
        <v>10.0</v>
      </c>
      <c r="C6" s="144"/>
      <c r="D6" s="143">
        <v>3.0</v>
      </c>
      <c r="E6" s="143">
        <v>10.0</v>
      </c>
      <c r="F6" s="143"/>
      <c r="G6" s="143">
        <v>3.0</v>
      </c>
      <c r="H6" s="143">
        <v>20.0</v>
      </c>
      <c r="I6" s="143"/>
      <c r="J6" s="143">
        <v>3.0</v>
      </c>
      <c r="K6" s="143">
        <v>10.0</v>
      </c>
      <c r="L6" s="143"/>
      <c r="M6" s="143">
        <v>3.0</v>
      </c>
      <c r="N6" s="143">
        <v>15.0</v>
      </c>
      <c r="O6" s="144"/>
      <c r="P6" s="143">
        <v>3.0</v>
      </c>
      <c r="Q6" s="143">
        <v>25.0</v>
      </c>
      <c r="R6" s="143"/>
      <c r="S6" s="143">
        <v>3.0</v>
      </c>
      <c r="T6" s="143">
        <v>35.0</v>
      </c>
      <c r="U6" s="118"/>
    </row>
    <row r="7">
      <c r="A7" s="143">
        <v>4.0</v>
      </c>
      <c r="B7" s="143">
        <v>10.0</v>
      </c>
      <c r="C7" s="144"/>
      <c r="D7" s="143">
        <v>4.0</v>
      </c>
      <c r="E7" s="143">
        <v>5.0</v>
      </c>
      <c r="F7" s="143"/>
      <c r="G7" s="143">
        <v>4.0</v>
      </c>
      <c r="H7" s="143">
        <v>20.0</v>
      </c>
      <c r="I7" s="143"/>
      <c r="J7" s="143">
        <v>4.0</v>
      </c>
      <c r="K7" s="143">
        <v>5.0</v>
      </c>
      <c r="L7" s="143"/>
      <c r="M7" s="143">
        <v>4.0</v>
      </c>
      <c r="N7" s="143">
        <v>5.0</v>
      </c>
      <c r="O7" s="144"/>
      <c r="P7" s="143">
        <v>4.0</v>
      </c>
      <c r="Q7" s="143">
        <v>10.0</v>
      </c>
      <c r="R7" s="143"/>
      <c r="S7" s="143">
        <v>4.0</v>
      </c>
      <c r="T7" s="143">
        <v>25.0</v>
      </c>
      <c r="U7" s="118"/>
    </row>
    <row r="8">
      <c r="A8" s="144"/>
      <c r="B8" s="144"/>
      <c r="C8" s="144"/>
      <c r="D8" s="144"/>
      <c r="E8" s="144"/>
      <c r="F8" s="144"/>
      <c r="G8" s="144"/>
      <c r="H8" s="144"/>
      <c r="I8" s="144"/>
      <c r="J8" s="144"/>
      <c r="K8" s="144"/>
      <c r="L8" s="144"/>
      <c r="M8" s="144"/>
      <c r="N8" s="144"/>
      <c r="O8" s="144"/>
      <c r="P8" s="144"/>
      <c r="Q8" s="144"/>
      <c r="R8" s="144"/>
      <c r="S8" s="144"/>
      <c r="T8" s="144"/>
    </row>
    <row r="9">
      <c r="A9" s="143" t="s">
        <v>15</v>
      </c>
      <c r="B9" s="143" t="s">
        <v>25</v>
      </c>
      <c r="C9" s="144"/>
      <c r="D9" s="143" t="s">
        <v>15</v>
      </c>
      <c r="E9" s="143" t="s">
        <v>34</v>
      </c>
      <c r="F9" s="144"/>
      <c r="G9" s="143" t="s">
        <v>15</v>
      </c>
      <c r="H9" s="143" t="s">
        <v>40</v>
      </c>
      <c r="I9" s="144"/>
      <c r="J9" s="143" t="s">
        <v>15</v>
      </c>
      <c r="K9" s="143" t="s">
        <v>19</v>
      </c>
      <c r="L9" s="144"/>
      <c r="M9" s="143" t="s">
        <v>15</v>
      </c>
      <c r="N9" s="143" t="s">
        <v>54</v>
      </c>
      <c r="O9" s="144"/>
      <c r="P9" s="143" t="s">
        <v>15</v>
      </c>
      <c r="Q9" s="143" t="s">
        <v>63</v>
      </c>
      <c r="R9" s="144"/>
      <c r="S9" s="143" t="s">
        <v>15</v>
      </c>
      <c r="T9" s="143" t="s">
        <v>71</v>
      </c>
    </row>
    <row r="10">
      <c r="A10" s="143">
        <v>0.0</v>
      </c>
      <c r="B10" s="143">
        <v>30.0</v>
      </c>
      <c r="C10" s="144"/>
      <c r="D10" s="143">
        <v>0.0</v>
      </c>
      <c r="E10" s="143">
        <v>30.0</v>
      </c>
      <c r="F10" s="144"/>
      <c r="G10" s="143">
        <v>0.0</v>
      </c>
      <c r="H10" s="143">
        <v>50.0</v>
      </c>
      <c r="I10" s="144"/>
      <c r="J10" s="143">
        <v>0.0</v>
      </c>
      <c r="K10" s="143">
        <v>20.0</v>
      </c>
      <c r="L10" s="144"/>
      <c r="M10" s="143">
        <v>0.0</v>
      </c>
      <c r="N10" s="143">
        <v>45.0</v>
      </c>
      <c r="O10" s="144"/>
      <c r="P10" s="143">
        <v>0.0</v>
      </c>
      <c r="Q10" s="143">
        <v>20.0</v>
      </c>
      <c r="R10" s="144"/>
      <c r="S10" s="143">
        <v>0.0</v>
      </c>
      <c r="T10" s="143">
        <v>20.0</v>
      </c>
    </row>
    <row r="11">
      <c r="A11" s="143">
        <v>1.0</v>
      </c>
      <c r="B11" s="143">
        <v>30.0</v>
      </c>
      <c r="C11" s="144"/>
      <c r="D11" s="143">
        <v>1.0</v>
      </c>
      <c r="E11" s="143">
        <v>35.0</v>
      </c>
      <c r="F11" s="144"/>
      <c r="G11" s="143">
        <v>1.0</v>
      </c>
      <c r="H11" s="143">
        <v>5.0</v>
      </c>
      <c r="I11" s="144"/>
      <c r="J11" s="143">
        <v>1.0</v>
      </c>
      <c r="K11" s="143">
        <v>25.0</v>
      </c>
      <c r="L11" s="144"/>
      <c r="M11" s="143">
        <v>1.0</v>
      </c>
      <c r="N11" s="143">
        <v>5.0</v>
      </c>
      <c r="O11" s="144"/>
      <c r="P11" s="143">
        <v>1.0</v>
      </c>
      <c r="Q11" s="143">
        <v>10.0</v>
      </c>
      <c r="R11" s="144"/>
      <c r="S11" s="143">
        <v>1.0</v>
      </c>
      <c r="T11" s="143">
        <v>5.0</v>
      </c>
    </row>
    <row r="12">
      <c r="A12" s="143">
        <v>2.0</v>
      </c>
      <c r="B12" s="143">
        <v>25.0</v>
      </c>
      <c r="C12" s="144"/>
      <c r="D12" s="143">
        <v>2.0</v>
      </c>
      <c r="E12" s="143">
        <v>20.0</v>
      </c>
      <c r="F12" s="144"/>
      <c r="G12" s="143">
        <v>2.0</v>
      </c>
      <c r="H12" s="143">
        <v>20.0</v>
      </c>
      <c r="I12" s="144"/>
      <c r="J12" s="143">
        <v>2.0</v>
      </c>
      <c r="K12" s="143">
        <v>35.0</v>
      </c>
      <c r="L12" s="144"/>
      <c r="M12" s="143">
        <v>2.0</v>
      </c>
      <c r="N12" s="143">
        <v>10.0</v>
      </c>
      <c r="O12" s="144"/>
      <c r="P12" s="143">
        <v>2.0</v>
      </c>
      <c r="Q12" s="143">
        <v>35.0</v>
      </c>
      <c r="R12" s="144"/>
      <c r="S12" s="143">
        <v>2.0</v>
      </c>
      <c r="T12" s="143">
        <v>15.0</v>
      </c>
    </row>
    <row r="13">
      <c r="A13" s="143">
        <v>3.0</v>
      </c>
      <c r="B13" s="143">
        <v>10.0</v>
      </c>
      <c r="C13" s="144"/>
      <c r="D13" s="143">
        <v>3.0</v>
      </c>
      <c r="E13" s="143">
        <v>10.0</v>
      </c>
      <c r="F13" s="144"/>
      <c r="G13" s="143">
        <v>3.0</v>
      </c>
      <c r="H13" s="143">
        <v>5.0</v>
      </c>
      <c r="I13" s="144"/>
      <c r="J13" s="143">
        <v>3.0</v>
      </c>
      <c r="K13" s="143">
        <v>15.0</v>
      </c>
      <c r="L13" s="144"/>
      <c r="M13" s="143">
        <v>3.0</v>
      </c>
      <c r="N13" s="143">
        <v>5.0</v>
      </c>
      <c r="O13" s="144"/>
      <c r="P13" s="143">
        <v>3.0</v>
      </c>
      <c r="Q13" s="143">
        <v>15.0</v>
      </c>
      <c r="R13" s="144"/>
      <c r="S13" s="143">
        <v>3.0</v>
      </c>
      <c r="T13" s="143">
        <v>35.0</v>
      </c>
    </row>
    <row r="14">
      <c r="A14" s="143">
        <v>4.0</v>
      </c>
      <c r="B14" s="143">
        <v>5.0</v>
      </c>
      <c r="C14" s="144"/>
      <c r="D14" s="143">
        <v>4.0</v>
      </c>
      <c r="E14" s="143">
        <v>5.0</v>
      </c>
      <c r="F14" s="144"/>
      <c r="G14" s="143">
        <v>4.0</v>
      </c>
      <c r="H14" s="143">
        <v>20.0</v>
      </c>
      <c r="I14" s="144"/>
      <c r="J14" s="143">
        <v>4.0</v>
      </c>
      <c r="K14" s="143">
        <v>5.0</v>
      </c>
      <c r="L14" s="144"/>
      <c r="M14" s="143">
        <v>4.0</v>
      </c>
      <c r="N14" s="143">
        <v>35.0</v>
      </c>
      <c r="O14" s="144"/>
      <c r="P14" s="143">
        <v>4.0</v>
      </c>
      <c r="Q14" s="143">
        <v>20.0</v>
      </c>
      <c r="R14" s="144"/>
      <c r="S14" s="143">
        <v>4.0</v>
      </c>
      <c r="T14" s="143">
        <v>25.0</v>
      </c>
    </row>
    <row r="15">
      <c r="A15" s="144"/>
      <c r="B15" s="144"/>
      <c r="C15" s="144"/>
      <c r="D15" s="144"/>
      <c r="E15" s="144"/>
      <c r="F15" s="144"/>
      <c r="G15" s="144"/>
      <c r="H15" s="144"/>
      <c r="I15" s="144"/>
      <c r="J15" s="144"/>
      <c r="K15" s="144"/>
      <c r="L15" s="144"/>
      <c r="M15" s="144"/>
      <c r="N15" s="144"/>
      <c r="O15" s="144"/>
      <c r="P15" s="144"/>
      <c r="Q15" s="144"/>
      <c r="R15" s="144"/>
      <c r="S15" s="144"/>
      <c r="T15" s="144"/>
    </row>
    <row r="16">
      <c r="A16" s="143" t="s">
        <v>15</v>
      </c>
      <c r="B16" s="143" t="s">
        <v>27</v>
      </c>
      <c r="C16" s="144"/>
      <c r="D16" s="143" t="s">
        <v>15</v>
      </c>
      <c r="E16" s="143" t="s">
        <v>36</v>
      </c>
      <c r="F16" s="144"/>
      <c r="G16" s="143" t="s">
        <v>15</v>
      </c>
      <c r="H16" s="143" t="s">
        <v>42</v>
      </c>
      <c r="I16" s="144"/>
      <c r="J16" s="143" t="s">
        <v>15</v>
      </c>
      <c r="K16" s="143" t="s">
        <v>49</v>
      </c>
      <c r="L16" s="144"/>
      <c r="M16" s="143" t="s">
        <v>15</v>
      </c>
      <c r="N16" s="143" t="s">
        <v>56</v>
      </c>
      <c r="O16" s="144"/>
      <c r="P16" s="143" t="s">
        <v>15</v>
      </c>
      <c r="Q16" s="143" t="s">
        <v>66</v>
      </c>
      <c r="R16" s="144"/>
      <c r="S16" s="144"/>
      <c r="T16" s="144"/>
    </row>
    <row r="17">
      <c r="A17" s="143">
        <v>0.0</v>
      </c>
      <c r="B17" s="143">
        <v>25.0</v>
      </c>
      <c r="C17" s="144"/>
      <c r="D17" s="143">
        <v>0.0</v>
      </c>
      <c r="E17" s="143">
        <v>30.0</v>
      </c>
      <c r="F17" s="144"/>
      <c r="G17" s="143">
        <v>0.0</v>
      </c>
      <c r="H17" s="143">
        <v>10.0</v>
      </c>
      <c r="I17" s="144"/>
      <c r="J17" s="143">
        <v>0.0</v>
      </c>
      <c r="K17" s="143">
        <v>20.0</v>
      </c>
      <c r="L17" s="144"/>
      <c r="M17" s="143">
        <v>0.0</v>
      </c>
      <c r="N17" s="143">
        <v>5.0</v>
      </c>
      <c r="O17" s="144"/>
      <c r="P17" s="143">
        <v>0.0</v>
      </c>
      <c r="Q17" s="143">
        <v>15.0</v>
      </c>
      <c r="R17" s="144"/>
      <c r="S17" s="144"/>
      <c r="T17" s="144"/>
    </row>
    <row r="18">
      <c r="A18" s="143">
        <v>1.0</v>
      </c>
      <c r="B18" s="143">
        <v>25.0</v>
      </c>
      <c r="C18" s="144"/>
      <c r="D18" s="143">
        <v>1.0</v>
      </c>
      <c r="E18" s="143">
        <v>35.0</v>
      </c>
      <c r="F18" s="144"/>
      <c r="G18" s="143">
        <v>1.0</v>
      </c>
      <c r="H18" s="143">
        <v>35.0</v>
      </c>
      <c r="I18" s="144"/>
      <c r="J18" s="143">
        <v>1.0</v>
      </c>
      <c r="K18" s="143">
        <v>35.0</v>
      </c>
      <c r="L18" s="144"/>
      <c r="M18" s="143">
        <v>1.0</v>
      </c>
      <c r="N18" s="143">
        <v>15.0</v>
      </c>
      <c r="O18" s="144"/>
      <c r="P18" s="143">
        <v>1.0</v>
      </c>
      <c r="Q18" s="143">
        <v>5.0</v>
      </c>
      <c r="R18" s="144"/>
      <c r="S18" s="144"/>
      <c r="T18" s="144"/>
    </row>
    <row r="19">
      <c r="A19" s="143">
        <v>2.0</v>
      </c>
      <c r="B19" s="143">
        <v>25.0</v>
      </c>
      <c r="C19" s="144"/>
      <c r="D19" s="143">
        <v>2.0</v>
      </c>
      <c r="E19" s="143">
        <v>20.0</v>
      </c>
      <c r="F19" s="144"/>
      <c r="G19" s="143">
        <v>2.0</v>
      </c>
      <c r="H19" s="143">
        <v>25.0</v>
      </c>
      <c r="I19" s="144"/>
      <c r="J19" s="143">
        <v>2.0</v>
      </c>
      <c r="K19" s="143">
        <v>25.0</v>
      </c>
      <c r="L19" s="144"/>
      <c r="M19" s="143">
        <v>2.0</v>
      </c>
      <c r="N19" s="143">
        <v>50.0</v>
      </c>
      <c r="O19" s="144"/>
      <c r="P19" s="143">
        <v>2.0</v>
      </c>
      <c r="Q19" s="143">
        <v>25.0</v>
      </c>
      <c r="R19" s="144"/>
      <c r="S19" s="144"/>
      <c r="T19" s="144"/>
    </row>
    <row r="20">
      <c r="A20" s="143">
        <v>3.0</v>
      </c>
      <c r="B20" s="143">
        <v>15.0</v>
      </c>
      <c r="C20" s="144"/>
      <c r="D20" s="143">
        <v>3.0</v>
      </c>
      <c r="E20" s="143">
        <v>10.0</v>
      </c>
      <c r="F20" s="144"/>
      <c r="G20" s="143">
        <v>3.0</v>
      </c>
      <c r="H20" s="143">
        <v>20.0</v>
      </c>
      <c r="I20" s="144"/>
      <c r="J20" s="143">
        <v>3.0</v>
      </c>
      <c r="K20" s="143">
        <v>15.0</v>
      </c>
      <c r="L20" s="144"/>
      <c r="M20" s="143">
        <v>3.0</v>
      </c>
      <c r="N20" s="143">
        <v>20.0</v>
      </c>
      <c r="O20" s="144"/>
      <c r="P20" s="143">
        <v>3.0</v>
      </c>
      <c r="Q20" s="143">
        <v>35.0</v>
      </c>
      <c r="R20" s="144"/>
      <c r="S20" s="144"/>
      <c r="T20" s="144"/>
    </row>
    <row r="21">
      <c r="A21" s="143">
        <v>4.0</v>
      </c>
      <c r="B21" s="143">
        <v>10.0</v>
      </c>
      <c r="C21" s="144"/>
      <c r="D21" s="143">
        <v>4.0</v>
      </c>
      <c r="E21" s="143">
        <v>5.0</v>
      </c>
      <c r="F21" s="144"/>
      <c r="G21" s="143">
        <v>4.0</v>
      </c>
      <c r="H21" s="143">
        <v>10.0</v>
      </c>
      <c r="I21" s="144"/>
      <c r="J21" s="143">
        <v>4.0</v>
      </c>
      <c r="K21" s="143">
        <v>5.0</v>
      </c>
      <c r="L21" s="144"/>
      <c r="M21" s="143">
        <v>4.0</v>
      </c>
      <c r="N21" s="143">
        <v>10.0</v>
      </c>
      <c r="O21" s="144"/>
      <c r="P21" s="143">
        <v>4.0</v>
      </c>
      <c r="Q21" s="143">
        <v>20.0</v>
      </c>
      <c r="R21" s="144"/>
      <c r="S21" s="144"/>
      <c r="T21" s="14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4" max="4" width="106.88"/>
  </cols>
  <sheetData>
    <row r="1">
      <c r="A1" s="31" t="s">
        <v>362</v>
      </c>
      <c r="B1" s="145" t="s">
        <v>363</v>
      </c>
      <c r="C1" s="31" t="s">
        <v>364</v>
      </c>
      <c r="D1" s="31" t="s">
        <v>365</v>
      </c>
    </row>
    <row r="2">
      <c r="A2" s="31">
        <v>1.0</v>
      </c>
      <c r="B2" s="146" t="s">
        <v>366</v>
      </c>
      <c r="C2" s="34">
        <f t="shared" ref="C2:C26" si="1">IF(AND(B2&lt;&gt;"", E2&lt;&gt;"x"), ROUND(100/COUNTIFS($B$2:$B$100, "&lt;&gt;", $E$2:$E$100, "&lt;&gt;x"), 2), "")</f>
        <v>4</v>
      </c>
      <c r="D2" s="31" t="s">
        <v>367</v>
      </c>
    </row>
    <row r="3">
      <c r="A3" s="31">
        <v>2.0</v>
      </c>
      <c r="B3" s="146" t="s">
        <v>368</v>
      </c>
      <c r="C3" s="34">
        <f t="shared" si="1"/>
        <v>4</v>
      </c>
      <c r="D3" s="31" t="s">
        <v>369</v>
      </c>
      <c r="F3" s="147"/>
    </row>
    <row r="4">
      <c r="A4" s="31">
        <v>3.0</v>
      </c>
      <c r="B4" s="146" t="s">
        <v>370</v>
      </c>
      <c r="C4" s="34">
        <f t="shared" si="1"/>
        <v>4</v>
      </c>
      <c r="D4" s="49" t="s">
        <v>371</v>
      </c>
      <c r="F4" s="17">
        <f>SUM(C2:C26)</f>
        <v>100</v>
      </c>
    </row>
    <row r="5">
      <c r="A5" s="31">
        <v>4.0</v>
      </c>
      <c r="B5" s="146" t="s">
        <v>372</v>
      </c>
      <c r="C5" s="34">
        <f t="shared" si="1"/>
        <v>4</v>
      </c>
      <c r="D5" s="31" t="s">
        <v>373</v>
      </c>
    </row>
    <row r="6">
      <c r="A6" s="31">
        <v>5.0</v>
      </c>
      <c r="B6" s="146" t="s">
        <v>374</v>
      </c>
      <c r="C6" s="34">
        <f t="shared" si="1"/>
        <v>4</v>
      </c>
      <c r="D6" s="31" t="s">
        <v>375</v>
      </c>
    </row>
    <row r="7">
      <c r="A7" s="31">
        <v>6.0</v>
      </c>
      <c r="B7" s="146" t="s">
        <v>376</v>
      </c>
      <c r="C7" s="34">
        <f t="shared" si="1"/>
        <v>4</v>
      </c>
      <c r="D7" s="31" t="s">
        <v>377</v>
      </c>
    </row>
    <row r="8">
      <c r="A8" s="31">
        <v>7.0</v>
      </c>
      <c r="B8" s="148" t="s">
        <v>378</v>
      </c>
      <c r="C8" s="34">
        <f t="shared" si="1"/>
        <v>4</v>
      </c>
      <c r="D8" s="31" t="s">
        <v>379</v>
      </c>
    </row>
    <row r="9">
      <c r="A9" s="31">
        <v>8.0</v>
      </c>
      <c r="B9" s="149" t="s">
        <v>380</v>
      </c>
      <c r="C9" s="34">
        <f t="shared" si="1"/>
        <v>4</v>
      </c>
      <c r="D9" s="48" t="s">
        <v>381</v>
      </c>
    </row>
    <row r="10">
      <c r="A10" s="31">
        <v>9.0</v>
      </c>
      <c r="B10" s="146" t="s">
        <v>382</v>
      </c>
      <c r="C10" s="34">
        <f t="shared" si="1"/>
        <v>4</v>
      </c>
      <c r="D10" s="31" t="s">
        <v>383</v>
      </c>
    </row>
    <row r="11">
      <c r="A11" s="31">
        <v>10.0</v>
      </c>
      <c r="B11" s="146" t="s">
        <v>384</v>
      </c>
      <c r="C11" s="34">
        <f t="shared" si="1"/>
        <v>4</v>
      </c>
      <c r="D11" s="31" t="s">
        <v>385</v>
      </c>
    </row>
    <row r="12">
      <c r="A12" s="31">
        <v>11.0</v>
      </c>
      <c r="B12" s="28" t="s">
        <v>386</v>
      </c>
      <c r="C12" s="34">
        <f t="shared" si="1"/>
        <v>4</v>
      </c>
      <c r="D12" s="31" t="s">
        <v>387</v>
      </c>
    </row>
    <row r="13">
      <c r="A13" s="31">
        <v>12.0</v>
      </c>
      <c r="B13" s="146" t="s">
        <v>388</v>
      </c>
      <c r="C13" s="34">
        <f t="shared" si="1"/>
        <v>4</v>
      </c>
      <c r="D13" s="31" t="s">
        <v>389</v>
      </c>
    </row>
    <row r="14">
      <c r="A14" s="31">
        <v>13.0</v>
      </c>
      <c r="B14" s="146" t="s">
        <v>390</v>
      </c>
      <c r="C14" s="34">
        <f t="shared" si="1"/>
        <v>4</v>
      </c>
      <c r="D14" s="34" t="s">
        <v>391</v>
      </c>
    </row>
    <row r="15">
      <c r="A15" s="31">
        <v>14.0</v>
      </c>
      <c r="B15" s="146" t="s">
        <v>392</v>
      </c>
      <c r="C15" s="34">
        <f t="shared" si="1"/>
        <v>4</v>
      </c>
      <c r="D15" s="31" t="s">
        <v>393</v>
      </c>
    </row>
    <row r="16">
      <c r="A16" s="31">
        <v>15.0</v>
      </c>
      <c r="B16" s="146" t="s">
        <v>394</v>
      </c>
      <c r="C16" s="34">
        <f t="shared" si="1"/>
        <v>4</v>
      </c>
      <c r="D16" s="31" t="s">
        <v>395</v>
      </c>
    </row>
    <row r="17">
      <c r="A17" s="31">
        <v>16.0</v>
      </c>
      <c r="B17" s="146" t="s">
        <v>396</v>
      </c>
      <c r="C17" s="34">
        <f t="shared" si="1"/>
        <v>4</v>
      </c>
      <c r="D17" s="31" t="s">
        <v>397</v>
      </c>
    </row>
    <row r="18">
      <c r="A18" s="31">
        <v>17.0</v>
      </c>
      <c r="B18" s="146" t="s">
        <v>398</v>
      </c>
      <c r="C18" s="34">
        <f t="shared" si="1"/>
        <v>4</v>
      </c>
      <c r="D18" s="31" t="s">
        <v>399</v>
      </c>
    </row>
    <row r="19">
      <c r="A19" s="31">
        <v>18.0</v>
      </c>
      <c r="B19" s="146" t="s">
        <v>400</v>
      </c>
      <c r="C19" s="34">
        <f t="shared" si="1"/>
        <v>4</v>
      </c>
      <c r="D19" s="31" t="s">
        <v>401</v>
      </c>
    </row>
    <row r="20">
      <c r="A20" s="31">
        <v>19.0</v>
      </c>
      <c r="B20" s="146" t="s">
        <v>402</v>
      </c>
      <c r="C20" s="34">
        <f t="shared" si="1"/>
        <v>4</v>
      </c>
      <c r="D20" s="31" t="s">
        <v>403</v>
      </c>
    </row>
    <row r="21">
      <c r="A21" s="31">
        <v>20.0</v>
      </c>
      <c r="B21" s="146" t="s">
        <v>404</v>
      </c>
      <c r="C21" s="34">
        <f t="shared" si="1"/>
        <v>4</v>
      </c>
      <c r="D21" s="34" t="s">
        <v>405</v>
      </c>
    </row>
    <row r="22">
      <c r="A22" s="31">
        <v>21.0</v>
      </c>
      <c r="B22" s="145" t="s">
        <v>406</v>
      </c>
      <c r="C22" s="34">
        <f t="shared" si="1"/>
        <v>4</v>
      </c>
      <c r="D22" s="31" t="s">
        <v>407</v>
      </c>
    </row>
    <row r="23">
      <c r="A23" s="31">
        <v>22.0</v>
      </c>
      <c r="B23" s="145" t="s">
        <v>408</v>
      </c>
      <c r="C23" s="34">
        <f t="shared" si="1"/>
        <v>4</v>
      </c>
      <c r="D23" s="31" t="s">
        <v>409</v>
      </c>
    </row>
    <row r="24">
      <c r="A24" s="31">
        <v>23.0</v>
      </c>
      <c r="B24" s="145" t="s">
        <v>410</v>
      </c>
      <c r="C24" s="34">
        <f t="shared" si="1"/>
        <v>4</v>
      </c>
      <c r="D24" s="31" t="s">
        <v>411</v>
      </c>
    </row>
    <row r="25">
      <c r="A25" s="31">
        <v>24.0</v>
      </c>
      <c r="B25" s="145" t="s">
        <v>412</v>
      </c>
      <c r="C25" s="34">
        <f t="shared" si="1"/>
        <v>4</v>
      </c>
      <c r="D25" s="31" t="s">
        <v>413</v>
      </c>
    </row>
    <row r="26">
      <c r="A26" s="31">
        <v>24.0</v>
      </c>
      <c r="B26" s="145" t="s">
        <v>414</v>
      </c>
      <c r="C26" s="34">
        <f t="shared" si="1"/>
        <v>4</v>
      </c>
      <c r="D26" s="31" t="s">
        <v>415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9"/>
      <c r="B1" s="119"/>
      <c r="C1" s="119"/>
      <c r="D1" s="119"/>
      <c r="E1" s="119"/>
      <c r="F1" s="119"/>
      <c r="G1" s="119"/>
      <c r="H1" s="119"/>
      <c r="I1" s="119"/>
      <c r="J1" s="119"/>
      <c r="K1" s="119"/>
      <c r="L1" s="119"/>
      <c r="M1" s="119"/>
      <c r="N1" s="119"/>
      <c r="O1" s="119"/>
      <c r="P1" s="119"/>
      <c r="Q1" s="119"/>
      <c r="R1" s="119"/>
      <c r="S1" s="119"/>
      <c r="T1" s="119"/>
      <c r="U1" s="119"/>
      <c r="V1" s="119"/>
      <c r="W1" s="119"/>
      <c r="X1" s="119"/>
      <c r="Y1" s="119"/>
      <c r="Z1" s="119"/>
    </row>
    <row r="2">
      <c r="A2" s="150" t="s">
        <v>416</v>
      </c>
      <c r="B2" s="91"/>
      <c r="C2" s="92"/>
      <c r="D2" s="119"/>
      <c r="E2" s="93"/>
      <c r="H2" s="119"/>
      <c r="I2" s="119"/>
      <c r="J2" s="119"/>
      <c r="K2" s="119"/>
      <c r="L2" s="119"/>
      <c r="M2" s="119"/>
      <c r="N2" s="119"/>
      <c r="O2" s="119"/>
      <c r="P2" s="119"/>
      <c r="Q2" s="119"/>
      <c r="R2" s="119"/>
      <c r="S2" s="119"/>
      <c r="T2" s="119"/>
      <c r="U2" s="119"/>
      <c r="V2" s="119"/>
      <c r="W2" s="119"/>
      <c r="X2" s="119"/>
      <c r="Y2" s="119"/>
      <c r="Z2" s="119"/>
    </row>
    <row r="3">
      <c r="A3" s="94" t="s">
        <v>81</v>
      </c>
      <c r="B3" s="92"/>
      <c r="C3" s="33" t="s">
        <v>417</v>
      </c>
      <c r="D3" s="151"/>
      <c r="E3" s="79"/>
      <c r="G3" s="79"/>
      <c r="H3" s="151"/>
      <c r="I3" s="130"/>
      <c r="J3" s="130"/>
      <c r="K3" s="119"/>
      <c r="L3" s="119"/>
      <c r="M3" s="119"/>
      <c r="N3" s="119"/>
      <c r="O3" s="119"/>
      <c r="P3" s="119"/>
      <c r="Q3" s="119"/>
      <c r="R3" s="119"/>
      <c r="S3" s="119"/>
      <c r="T3" s="119"/>
      <c r="U3" s="119"/>
      <c r="V3" s="119"/>
      <c r="W3" s="119"/>
      <c r="X3" s="119"/>
      <c r="Y3" s="119"/>
      <c r="Z3" s="119"/>
    </row>
    <row r="4">
      <c r="A4" s="152" t="s">
        <v>418</v>
      </c>
      <c r="B4" s="92"/>
      <c r="C4" s="41">
        <v>70.0</v>
      </c>
      <c r="D4" s="119"/>
      <c r="E4" s="80"/>
      <c r="G4" s="80"/>
      <c r="H4" s="151"/>
      <c r="I4" s="130"/>
      <c r="K4" s="153"/>
      <c r="L4" s="130"/>
      <c r="N4" s="119"/>
      <c r="O4" s="119"/>
      <c r="P4" s="119"/>
      <c r="Q4" s="119"/>
      <c r="R4" s="119"/>
      <c r="S4" s="119"/>
      <c r="T4" s="119"/>
      <c r="U4" s="119"/>
      <c r="V4" s="119"/>
      <c r="W4" s="119"/>
      <c r="X4" s="119"/>
      <c r="Y4" s="119"/>
      <c r="Z4" s="119"/>
    </row>
    <row r="5">
      <c r="A5" s="152" t="s">
        <v>419</v>
      </c>
      <c r="B5" s="92"/>
      <c r="C5" s="41">
        <v>30.0</v>
      </c>
      <c r="D5" s="119"/>
      <c r="E5" s="80"/>
      <c r="G5" s="80"/>
      <c r="H5" s="151"/>
      <c r="I5" s="130"/>
      <c r="N5" s="119"/>
      <c r="O5" s="119"/>
      <c r="P5" s="119"/>
      <c r="Q5" s="119"/>
      <c r="R5" s="119"/>
      <c r="S5" s="119"/>
      <c r="T5" s="119"/>
      <c r="U5" s="119"/>
      <c r="V5" s="119"/>
      <c r="W5" s="119"/>
      <c r="X5" s="119"/>
      <c r="Y5" s="119"/>
      <c r="Z5" s="119"/>
    </row>
    <row r="6">
      <c r="A6" s="79"/>
      <c r="B6" s="80"/>
      <c r="C6" s="80"/>
      <c r="D6" s="119"/>
      <c r="E6" s="119"/>
      <c r="F6" s="119"/>
      <c r="G6" s="119"/>
      <c r="H6" s="119"/>
      <c r="I6" s="119"/>
      <c r="J6" s="119"/>
      <c r="K6" s="119"/>
      <c r="L6" s="119"/>
      <c r="M6" s="119"/>
      <c r="N6" s="119"/>
      <c r="O6" s="119"/>
      <c r="P6" s="119"/>
      <c r="Q6" s="119"/>
      <c r="R6" s="119"/>
      <c r="S6" s="119"/>
      <c r="T6" s="119"/>
      <c r="U6" s="119"/>
      <c r="V6" s="119"/>
      <c r="W6" s="119"/>
      <c r="X6" s="119"/>
      <c r="Y6" s="119"/>
      <c r="Z6" s="119"/>
    </row>
    <row r="7">
      <c r="A7" s="79"/>
      <c r="D7" s="79"/>
      <c r="E7" s="79"/>
      <c r="H7" s="119"/>
      <c r="I7" s="119"/>
      <c r="J7" s="119"/>
      <c r="K7" s="119"/>
      <c r="L7" s="119"/>
      <c r="M7" s="119"/>
      <c r="N7" s="119"/>
      <c r="O7" s="119"/>
      <c r="P7" s="119"/>
      <c r="Q7" s="119"/>
      <c r="R7" s="119"/>
      <c r="S7" s="119"/>
      <c r="T7" s="119"/>
      <c r="U7" s="119"/>
      <c r="V7" s="119"/>
      <c r="W7" s="119"/>
      <c r="X7" s="119"/>
      <c r="Y7" s="119"/>
      <c r="Z7" s="119"/>
    </row>
    <row r="8">
      <c r="A8" s="119"/>
      <c r="B8" s="119"/>
      <c r="C8" s="119"/>
      <c r="D8" s="119"/>
      <c r="E8" s="119"/>
      <c r="F8" s="119"/>
      <c r="G8" s="119"/>
      <c r="H8" s="119"/>
      <c r="I8" s="119"/>
      <c r="J8" s="119"/>
      <c r="K8" s="119"/>
      <c r="L8" s="119"/>
      <c r="M8" s="119"/>
      <c r="N8" s="119"/>
      <c r="O8" s="119"/>
      <c r="P8" s="119"/>
      <c r="Q8" s="119"/>
      <c r="R8" s="119"/>
      <c r="S8" s="119"/>
      <c r="T8" s="119"/>
      <c r="U8" s="119"/>
      <c r="V8" s="119"/>
      <c r="W8" s="119"/>
      <c r="X8" s="119"/>
      <c r="Y8" s="119"/>
      <c r="Z8" s="119"/>
    </row>
    <row r="9">
      <c r="A9" s="119"/>
      <c r="B9" s="119"/>
      <c r="C9" s="119"/>
      <c r="D9" s="119"/>
      <c r="E9" s="119"/>
      <c r="F9" s="119"/>
      <c r="G9" s="119"/>
      <c r="H9" s="119"/>
      <c r="I9" s="119"/>
      <c r="J9" s="119"/>
      <c r="K9" s="119"/>
      <c r="L9" s="119"/>
      <c r="M9" s="119"/>
      <c r="N9" s="119"/>
      <c r="O9" s="119"/>
      <c r="P9" s="119"/>
      <c r="Q9" s="119"/>
      <c r="R9" s="119"/>
      <c r="S9" s="119"/>
      <c r="T9" s="119"/>
      <c r="U9" s="119"/>
      <c r="V9" s="119"/>
      <c r="W9" s="119"/>
      <c r="X9" s="119"/>
      <c r="Y9" s="119"/>
      <c r="Z9" s="119"/>
    </row>
    <row r="10">
      <c r="A10" s="119"/>
      <c r="B10" s="119"/>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row>
    <row r="11">
      <c r="A11" s="119"/>
      <c r="B11" s="119"/>
      <c r="C11" s="119"/>
      <c r="D11" s="119"/>
      <c r="E11" s="119"/>
      <c r="F11" s="119"/>
      <c r="G11" s="119"/>
      <c r="H11" s="119"/>
      <c r="I11" s="119"/>
      <c r="J11" s="119"/>
      <c r="K11" s="119"/>
      <c r="L11" s="119"/>
      <c r="M11" s="119"/>
      <c r="N11" s="119"/>
      <c r="O11" s="119"/>
      <c r="P11" s="119"/>
      <c r="Q11" s="119"/>
      <c r="R11" s="119"/>
      <c r="S11" s="119"/>
      <c r="T11" s="119"/>
      <c r="U11" s="119"/>
      <c r="V11" s="119"/>
      <c r="W11" s="119"/>
      <c r="X11" s="119"/>
      <c r="Y11" s="119"/>
      <c r="Z11" s="119"/>
    </row>
    <row r="12">
      <c r="A12" s="119"/>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row>
    <row r="13">
      <c r="A13" s="119"/>
      <c r="B13" s="119"/>
      <c r="C13" s="119"/>
      <c r="D13" s="119"/>
      <c r="E13" s="119"/>
      <c r="F13" s="119"/>
      <c r="G13" s="119"/>
      <c r="H13" s="119"/>
      <c r="I13" s="119"/>
      <c r="J13" s="119"/>
      <c r="K13" s="119"/>
      <c r="L13" s="119"/>
      <c r="M13" s="119"/>
      <c r="N13" s="119"/>
      <c r="O13" s="119"/>
      <c r="P13" s="119"/>
      <c r="Q13" s="119"/>
      <c r="R13" s="119"/>
      <c r="S13" s="119"/>
      <c r="T13" s="119"/>
      <c r="U13" s="119"/>
      <c r="V13" s="119"/>
      <c r="W13" s="119"/>
      <c r="X13" s="119"/>
      <c r="Y13" s="119"/>
      <c r="Z13" s="119"/>
    </row>
    <row r="14">
      <c r="A14" s="119"/>
      <c r="B14" s="119"/>
      <c r="C14" s="119"/>
      <c r="D14" s="119"/>
      <c r="E14" s="119"/>
      <c r="F14" s="119"/>
      <c r="G14" s="119"/>
      <c r="H14" s="119"/>
      <c r="I14" s="119"/>
      <c r="J14" s="119"/>
      <c r="K14" s="119"/>
      <c r="L14" s="119"/>
      <c r="M14" s="119"/>
      <c r="N14" s="119"/>
      <c r="O14" s="119"/>
      <c r="P14" s="119"/>
      <c r="Q14" s="119"/>
      <c r="R14" s="119"/>
      <c r="S14" s="119"/>
      <c r="T14" s="119"/>
      <c r="U14" s="119"/>
      <c r="V14" s="119"/>
      <c r="W14" s="119"/>
      <c r="X14" s="119"/>
      <c r="Y14" s="119"/>
      <c r="Z14" s="119"/>
    </row>
    <row r="15">
      <c r="A15" s="119"/>
      <c r="B15" s="119"/>
      <c r="C15" s="119"/>
      <c r="D15" s="119"/>
      <c r="E15" s="119"/>
      <c r="F15" s="119"/>
      <c r="G15" s="119"/>
      <c r="H15" s="119"/>
      <c r="I15" s="119"/>
      <c r="J15" s="119"/>
      <c r="K15" s="119"/>
      <c r="L15" s="119"/>
      <c r="M15" s="119"/>
      <c r="N15" s="119"/>
      <c r="O15" s="119"/>
      <c r="P15" s="119"/>
      <c r="Q15" s="119"/>
      <c r="R15" s="119"/>
      <c r="S15" s="119"/>
      <c r="T15" s="119"/>
      <c r="U15" s="119"/>
      <c r="V15" s="119"/>
      <c r="W15" s="119"/>
      <c r="X15" s="119"/>
      <c r="Y15" s="119"/>
      <c r="Z15" s="119"/>
    </row>
    <row r="16">
      <c r="A16" s="119"/>
      <c r="B16" s="119"/>
      <c r="C16" s="119"/>
      <c r="D16" s="119"/>
      <c r="E16" s="119"/>
      <c r="F16" s="119"/>
      <c r="G16" s="119"/>
      <c r="H16" s="119"/>
      <c r="I16" s="119"/>
      <c r="J16" s="119"/>
      <c r="K16" s="119"/>
      <c r="L16" s="119"/>
      <c r="M16" s="119"/>
      <c r="N16" s="119"/>
      <c r="O16" s="119"/>
      <c r="P16" s="119"/>
      <c r="Q16" s="119"/>
      <c r="R16" s="119"/>
      <c r="S16" s="119"/>
      <c r="T16" s="119"/>
      <c r="U16" s="119"/>
      <c r="V16" s="119"/>
      <c r="W16" s="119"/>
      <c r="X16" s="119"/>
      <c r="Y16" s="119"/>
      <c r="Z16" s="119"/>
    </row>
    <row r="17">
      <c r="A17" s="119"/>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row>
    <row r="18">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row>
    <row r="19">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row>
    <row r="20">
      <c r="A20" s="119"/>
      <c r="B20" s="119"/>
      <c r="C20" s="119"/>
      <c r="D20" s="119"/>
      <c r="E20" s="119"/>
      <c r="F20" s="119"/>
      <c r="G20" s="119"/>
      <c r="H20" s="119"/>
      <c r="I20" s="119"/>
      <c r="J20" s="119"/>
      <c r="K20" s="119"/>
      <c r="L20" s="119"/>
      <c r="M20" s="119"/>
      <c r="N20" s="119"/>
      <c r="O20" s="119"/>
      <c r="P20" s="119"/>
      <c r="Q20" s="119"/>
      <c r="R20" s="119"/>
      <c r="S20" s="119"/>
      <c r="T20" s="119"/>
      <c r="U20" s="119"/>
      <c r="V20" s="119"/>
      <c r="W20" s="119"/>
      <c r="X20" s="119"/>
      <c r="Y20" s="119"/>
      <c r="Z20" s="119"/>
    </row>
    <row r="21">
      <c r="A21" s="119"/>
      <c r="B21" s="119"/>
      <c r="C21" s="119"/>
      <c r="D21" s="119"/>
      <c r="E21" s="119"/>
      <c r="F21" s="119"/>
      <c r="G21" s="119"/>
      <c r="H21" s="119"/>
      <c r="I21" s="119"/>
      <c r="J21" s="119"/>
      <c r="K21" s="119"/>
      <c r="L21" s="119"/>
      <c r="M21" s="119"/>
      <c r="N21" s="119"/>
      <c r="O21" s="119"/>
      <c r="P21" s="119"/>
      <c r="Q21" s="119"/>
      <c r="R21" s="119"/>
      <c r="S21" s="119"/>
      <c r="T21" s="119"/>
      <c r="U21" s="119"/>
      <c r="V21" s="119"/>
      <c r="W21" s="119"/>
      <c r="X21" s="119"/>
      <c r="Y21" s="119"/>
      <c r="Z21" s="119"/>
    </row>
    <row r="22">
      <c r="A22" s="119"/>
      <c r="B22" s="119"/>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row>
    <row r="23">
      <c r="A23" s="119"/>
      <c r="B23" s="119"/>
      <c r="C23" s="119"/>
      <c r="D23" s="119"/>
      <c r="E23" s="119"/>
      <c r="F23" s="119"/>
      <c r="G23" s="119"/>
      <c r="H23" s="119"/>
      <c r="I23" s="119"/>
      <c r="J23" s="119"/>
      <c r="K23" s="119"/>
      <c r="L23" s="119"/>
      <c r="M23" s="119"/>
      <c r="N23" s="119"/>
      <c r="O23" s="119"/>
      <c r="P23" s="119"/>
      <c r="Q23" s="119"/>
      <c r="R23" s="119"/>
      <c r="S23" s="119"/>
      <c r="T23" s="119"/>
      <c r="U23" s="119"/>
      <c r="V23" s="119"/>
      <c r="W23" s="119"/>
      <c r="X23" s="119"/>
      <c r="Y23" s="119"/>
      <c r="Z23" s="119"/>
    </row>
    <row r="24">
      <c r="A24" s="11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row>
    <row r="25">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row>
    <row r="26">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row>
    <row r="27">
      <c r="A27" s="119"/>
      <c r="B27" s="119"/>
      <c r="C27" s="119"/>
      <c r="D27" s="119"/>
      <c r="E27" s="119"/>
      <c r="F27" s="119"/>
      <c r="G27" s="119"/>
      <c r="H27" s="119"/>
      <c r="I27" s="119"/>
      <c r="J27" s="119"/>
      <c r="K27" s="119"/>
      <c r="L27" s="119"/>
      <c r="M27" s="119"/>
      <c r="N27" s="119"/>
      <c r="O27" s="119"/>
      <c r="P27" s="119"/>
      <c r="Q27" s="119"/>
      <c r="R27" s="119"/>
      <c r="S27" s="119"/>
      <c r="T27" s="119"/>
      <c r="U27" s="119"/>
      <c r="V27" s="119"/>
      <c r="W27" s="119"/>
      <c r="X27" s="119"/>
      <c r="Y27" s="119"/>
      <c r="Z27" s="119"/>
    </row>
    <row r="28">
      <c r="A28" s="119"/>
      <c r="B28" s="119"/>
      <c r="C28" s="119"/>
      <c r="D28" s="119"/>
      <c r="E28" s="119"/>
      <c r="F28" s="119"/>
      <c r="G28" s="119"/>
      <c r="H28" s="119"/>
      <c r="I28" s="119"/>
      <c r="J28" s="119"/>
      <c r="K28" s="119"/>
      <c r="L28" s="119"/>
      <c r="M28" s="119"/>
      <c r="N28" s="119"/>
      <c r="O28" s="119"/>
      <c r="P28" s="119"/>
      <c r="Q28" s="119"/>
      <c r="R28" s="119"/>
      <c r="S28" s="119"/>
      <c r="T28" s="119"/>
      <c r="U28" s="119"/>
      <c r="V28" s="119"/>
      <c r="W28" s="119"/>
      <c r="X28" s="119"/>
      <c r="Y28" s="119"/>
      <c r="Z28" s="119"/>
    </row>
    <row r="29">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14">
    <mergeCell ref="K4:K5"/>
    <mergeCell ref="L4:M5"/>
    <mergeCell ref="E4:F4"/>
    <mergeCell ref="E5:F5"/>
    <mergeCell ref="E7:G7"/>
    <mergeCell ref="A5:B5"/>
    <mergeCell ref="A7:C7"/>
    <mergeCell ref="A2:C2"/>
    <mergeCell ref="E2:G2"/>
    <mergeCell ref="A3:B3"/>
    <mergeCell ref="E3:F3"/>
    <mergeCell ref="A4:B4"/>
    <mergeCell ref="I4:J4"/>
    <mergeCell ref="I5:J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63"/>
    <col customWidth="1" min="3" max="3" width="24.5"/>
    <col customWidth="1" min="4" max="4" width="21.13"/>
    <col customWidth="1" min="5" max="5" width="24.0"/>
    <col customWidth="1" min="6" max="6" width="37.5"/>
    <col customWidth="1" min="7" max="7" width="26.75"/>
    <col customWidth="1" min="8" max="8" width="25.13"/>
    <col customWidth="1" min="9" max="9" width="25.5"/>
    <col customWidth="1" min="10" max="11" width="33.88"/>
    <col customWidth="1" min="12" max="12" width="28.13"/>
    <col customWidth="1" min="13" max="13" width="24.63"/>
    <col customWidth="1" min="14" max="14" width="53.0"/>
  </cols>
  <sheetData>
    <row r="1">
      <c r="A1" s="154" t="s">
        <v>420</v>
      </c>
      <c r="B1" s="155" t="s">
        <v>421</v>
      </c>
      <c r="C1" s="156" t="s">
        <v>422</v>
      </c>
      <c r="D1" s="157" t="s">
        <v>423</v>
      </c>
      <c r="E1" s="158" t="s">
        <v>424</v>
      </c>
      <c r="F1" s="159" t="s">
        <v>425</v>
      </c>
      <c r="G1" s="155" t="s">
        <v>426</v>
      </c>
      <c r="H1" s="156" t="s">
        <v>427</v>
      </c>
      <c r="I1" s="157" t="s">
        <v>428</v>
      </c>
      <c r="J1" s="158" t="s">
        <v>429</v>
      </c>
      <c r="K1" s="159" t="s">
        <v>430</v>
      </c>
      <c r="L1" s="53" t="s">
        <v>285</v>
      </c>
      <c r="N1" s="160" t="s">
        <v>431</v>
      </c>
    </row>
    <row r="2">
      <c r="A2" s="161" t="s">
        <v>432</v>
      </c>
      <c r="B2" s="162"/>
      <c r="C2" s="163" t="s">
        <v>433</v>
      </c>
      <c r="D2" s="162"/>
      <c r="E2" s="162"/>
      <c r="F2" s="164" t="s">
        <v>434</v>
      </c>
      <c r="G2" s="162"/>
      <c r="H2" s="163" t="s">
        <v>435</v>
      </c>
      <c r="I2" s="162"/>
      <c r="J2" s="162"/>
      <c r="K2" s="164" t="s">
        <v>436</v>
      </c>
      <c r="L2" s="165" t="s">
        <v>437</v>
      </c>
      <c r="M2" s="166"/>
      <c r="N2" s="167" t="s">
        <v>438</v>
      </c>
    </row>
    <row r="3" ht="46.5" customHeight="1">
      <c r="A3" s="161" t="s">
        <v>439</v>
      </c>
      <c r="B3" s="168" t="s">
        <v>440</v>
      </c>
      <c r="C3" s="162"/>
      <c r="D3" s="162"/>
      <c r="E3" s="169" t="s">
        <v>295</v>
      </c>
      <c r="F3" s="162"/>
      <c r="G3" s="170" t="s">
        <v>441</v>
      </c>
      <c r="H3" s="162"/>
      <c r="I3" s="162"/>
      <c r="J3" s="169" t="s">
        <v>442</v>
      </c>
      <c r="K3" s="162"/>
      <c r="L3" s="165" t="s">
        <v>437</v>
      </c>
      <c r="M3" s="171"/>
      <c r="N3" s="172" t="s">
        <v>443</v>
      </c>
      <c r="O3" s="22"/>
      <c r="P3" s="22"/>
      <c r="Q3" s="22"/>
      <c r="R3" s="22"/>
      <c r="S3" s="22"/>
      <c r="T3" s="22"/>
      <c r="U3" s="22"/>
      <c r="V3" s="22"/>
      <c r="W3" s="22"/>
      <c r="X3" s="22"/>
      <c r="Y3" s="22"/>
      <c r="Z3" s="22"/>
      <c r="AA3" s="22"/>
      <c r="AB3" s="22"/>
      <c r="AC3" s="22"/>
      <c r="AD3" s="22"/>
    </row>
    <row r="4">
      <c r="A4" s="161" t="s">
        <v>444</v>
      </c>
      <c r="B4" s="168" t="s">
        <v>440</v>
      </c>
      <c r="C4" s="162"/>
      <c r="D4" s="173" t="s">
        <v>295</v>
      </c>
      <c r="E4" s="169" t="s">
        <v>445</v>
      </c>
      <c r="F4" s="162"/>
      <c r="G4" s="174"/>
      <c r="H4" s="162"/>
      <c r="I4" s="175"/>
      <c r="J4" s="169" t="s">
        <v>446</v>
      </c>
      <c r="K4" s="162"/>
      <c r="L4" s="165" t="s">
        <v>447</v>
      </c>
      <c r="M4" s="166"/>
      <c r="N4" s="167" t="s">
        <v>448</v>
      </c>
    </row>
    <row r="5" ht="57.75" customHeight="1">
      <c r="A5" s="161" t="s">
        <v>449</v>
      </c>
      <c r="B5" s="168" t="s">
        <v>305</v>
      </c>
      <c r="C5" s="175"/>
      <c r="D5" s="162"/>
      <c r="E5" s="169" t="s">
        <v>450</v>
      </c>
      <c r="F5" s="162"/>
      <c r="G5" s="170" t="s">
        <v>451</v>
      </c>
      <c r="H5" s="175"/>
      <c r="I5" s="162"/>
      <c r="J5" s="169" t="s">
        <v>452</v>
      </c>
      <c r="K5" s="162"/>
      <c r="L5" s="165" t="s">
        <v>453</v>
      </c>
      <c r="M5" s="166"/>
      <c r="N5" s="176" t="s">
        <v>454</v>
      </c>
    </row>
    <row r="6">
      <c r="A6" s="177" t="s">
        <v>455</v>
      </c>
      <c r="B6" s="178"/>
      <c r="C6" s="178"/>
      <c r="D6" s="178"/>
      <c r="E6" s="169" t="s">
        <v>456</v>
      </c>
      <c r="F6" s="178"/>
      <c r="G6" s="178"/>
      <c r="H6" s="178"/>
      <c r="I6" s="178"/>
      <c r="J6" s="169" t="s">
        <v>457</v>
      </c>
      <c r="K6" s="178"/>
      <c r="L6" s="165" t="s">
        <v>299</v>
      </c>
      <c r="M6" s="166"/>
      <c r="N6" s="176" t="s">
        <v>458</v>
      </c>
      <c r="P6" s="179"/>
    </row>
    <row r="7">
      <c r="A7" s="177" t="s">
        <v>459</v>
      </c>
      <c r="B7" s="178"/>
      <c r="C7" s="180" t="s">
        <v>460</v>
      </c>
      <c r="D7" s="175"/>
      <c r="E7" s="178"/>
      <c r="F7" s="164" t="s">
        <v>461</v>
      </c>
      <c r="G7" s="178"/>
      <c r="H7" s="175"/>
      <c r="I7" s="175"/>
      <c r="J7" s="178"/>
      <c r="K7" s="164" t="s">
        <v>462</v>
      </c>
      <c r="L7" s="165" t="s">
        <v>463</v>
      </c>
      <c r="M7" s="166"/>
      <c r="N7" s="176" t="s">
        <v>464</v>
      </c>
    </row>
    <row r="8">
      <c r="A8" s="177" t="s">
        <v>465</v>
      </c>
      <c r="B8" s="178"/>
      <c r="C8" s="180" t="s">
        <v>466</v>
      </c>
      <c r="D8" s="173" t="s">
        <v>467</v>
      </c>
      <c r="E8" s="178"/>
      <c r="F8" s="181" t="s">
        <v>468</v>
      </c>
      <c r="G8" s="178"/>
      <c r="H8" s="180" t="s">
        <v>466</v>
      </c>
      <c r="I8" s="173" t="s">
        <v>467</v>
      </c>
      <c r="J8" s="178"/>
      <c r="K8" s="181" t="s">
        <v>468</v>
      </c>
      <c r="L8" s="165" t="s">
        <v>463</v>
      </c>
      <c r="M8" s="166"/>
      <c r="N8" s="182" t="s">
        <v>469</v>
      </c>
    </row>
    <row r="9">
      <c r="A9" s="161" t="s">
        <v>470</v>
      </c>
      <c r="B9" s="168" t="s">
        <v>305</v>
      </c>
      <c r="C9" s="162"/>
      <c r="D9" s="162"/>
      <c r="E9" s="183" t="s">
        <v>450</v>
      </c>
      <c r="F9" s="162"/>
      <c r="G9" s="170" t="s">
        <v>471</v>
      </c>
      <c r="H9" s="162"/>
      <c r="I9" s="162"/>
      <c r="J9" s="169" t="s">
        <v>472</v>
      </c>
      <c r="K9" s="162"/>
      <c r="L9" s="184" t="s">
        <v>473</v>
      </c>
      <c r="M9" s="166"/>
      <c r="N9" s="167"/>
    </row>
    <row r="10">
      <c r="A10" s="28" t="s">
        <v>474</v>
      </c>
      <c r="B10" s="178"/>
      <c r="C10" s="163" t="s">
        <v>167</v>
      </c>
      <c r="D10" s="178"/>
      <c r="E10" s="175"/>
      <c r="F10" s="185"/>
      <c r="G10" s="178"/>
      <c r="H10" s="163" t="s">
        <v>475</v>
      </c>
      <c r="I10" s="178"/>
      <c r="J10" s="169" t="s">
        <v>476</v>
      </c>
      <c r="K10" s="185"/>
      <c r="L10" s="165" t="s">
        <v>477</v>
      </c>
      <c r="M10" s="166"/>
      <c r="N10" s="186"/>
    </row>
    <row r="11">
      <c r="A11" s="187"/>
      <c r="K11" s="125"/>
      <c r="L11" s="125"/>
      <c r="M11" s="166"/>
      <c r="N11" s="186"/>
    </row>
    <row r="12">
      <c r="A12" s="188"/>
      <c r="B12" s="189"/>
      <c r="C12" s="190"/>
      <c r="D12" s="190"/>
      <c r="E12" s="191"/>
      <c r="F12" s="190"/>
      <c r="G12" s="191"/>
      <c r="H12" s="190"/>
      <c r="I12" s="190"/>
      <c r="J12" s="191"/>
      <c r="K12" s="190"/>
      <c r="L12" s="189"/>
      <c r="M12" s="166"/>
      <c r="N12" s="176"/>
    </row>
    <row r="13">
      <c r="A13" s="49" t="s">
        <v>478</v>
      </c>
      <c r="B13" s="178"/>
      <c r="C13" s="163" t="s">
        <v>167</v>
      </c>
      <c r="D13" s="178"/>
      <c r="E13" s="192" t="s">
        <v>475</v>
      </c>
      <c r="F13" s="185"/>
      <c r="G13" s="169" t="s">
        <v>476</v>
      </c>
      <c r="H13" s="193"/>
      <c r="I13" s="194" t="s">
        <v>479</v>
      </c>
      <c r="J13" s="195"/>
      <c r="K13" s="196" t="s">
        <v>480</v>
      </c>
      <c r="L13" s="184" t="s">
        <v>473</v>
      </c>
      <c r="M13" s="166"/>
      <c r="N13" s="176" t="s">
        <v>481</v>
      </c>
    </row>
    <row r="14">
      <c r="A14" s="197"/>
      <c r="B14" s="125"/>
      <c r="C14" s="125"/>
      <c r="D14" s="125"/>
      <c r="E14" s="191"/>
      <c r="F14" s="125"/>
      <c r="G14" s="125"/>
      <c r="H14" s="125"/>
      <c r="I14" s="125"/>
      <c r="J14" s="191"/>
      <c r="K14" s="125"/>
      <c r="L14" s="189"/>
      <c r="N14" s="198"/>
    </row>
    <row r="15">
      <c r="A15" s="188"/>
      <c r="B15" s="190"/>
      <c r="C15" s="190"/>
      <c r="D15" s="190"/>
      <c r="E15" s="189"/>
      <c r="F15" s="190"/>
      <c r="G15" s="190"/>
      <c r="H15" s="190"/>
      <c r="I15" s="190"/>
      <c r="J15" s="191"/>
      <c r="K15" s="190"/>
      <c r="L15" s="189"/>
      <c r="N15" s="198"/>
    </row>
    <row r="16">
      <c r="A16" s="197"/>
      <c r="B16" s="125"/>
      <c r="C16" s="125"/>
      <c r="D16" s="125"/>
      <c r="E16" s="191"/>
      <c r="F16" s="125"/>
      <c r="G16" s="125"/>
      <c r="H16" s="125"/>
      <c r="I16" s="125"/>
      <c r="J16" s="191"/>
      <c r="K16" s="125"/>
      <c r="L16" s="191"/>
      <c r="N16" s="198"/>
    </row>
    <row r="17">
      <c r="A17" s="197"/>
      <c r="B17" s="125"/>
      <c r="C17" s="125"/>
      <c r="D17" s="125"/>
      <c r="E17" s="191"/>
      <c r="F17" s="125"/>
      <c r="G17" s="125"/>
      <c r="H17" s="125"/>
      <c r="I17" s="125"/>
      <c r="J17" s="191"/>
      <c r="K17" s="125"/>
      <c r="L17" s="191"/>
      <c r="N17" s="198"/>
    </row>
    <row r="18">
      <c r="A18" s="125"/>
      <c r="B18" s="125"/>
      <c r="C18" s="125"/>
      <c r="D18" s="125"/>
      <c r="E18" s="125"/>
      <c r="F18" s="125"/>
      <c r="G18" s="125"/>
      <c r="H18" s="125"/>
      <c r="I18" s="125"/>
      <c r="J18" s="125"/>
      <c r="K18" s="125"/>
      <c r="L18" s="125"/>
      <c r="N18" s="198"/>
    </row>
    <row r="19">
      <c r="A19" s="125"/>
      <c r="B19" s="125"/>
      <c r="C19" s="125"/>
      <c r="D19" s="125"/>
      <c r="E19" s="125"/>
      <c r="F19" s="125"/>
      <c r="G19" s="125"/>
      <c r="H19" s="125"/>
      <c r="I19" s="125"/>
      <c r="J19" s="125"/>
      <c r="K19" s="125"/>
      <c r="L19" s="125"/>
      <c r="N19" s="198"/>
    </row>
    <row r="20">
      <c r="A20" s="199"/>
      <c r="H20" s="125"/>
      <c r="I20" s="125"/>
      <c r="J20" s="125"/>
      <c r="K20" s="125"/>
      <c r="L20" s="125"/>
      <c r="N20" s="198"/>
    </row>
    <row r="21">
      <c r="H21" s="125"/>
      <c r="I21" s="125"/>
      <c r="J21" s="125"/>
      <c r="K21" s="125"/>
      <c r="L21" s="125"/>
      <c r="N21" s="198"/>
    </row>
    <row r="22">
      <c r="A22" s="188"/>
      <c r="B22" s="190"/>
      <c r="C22" s="191"/>
      <c r="D22" s="189"/>
      <c r="E22" s="190"/>
      <c r="F22" s="191"/>
      <c r="G22" s="190"/>
      <c r="H22" s="189"/>
      <c r="I22" s="191"/>
      <c r="J22" s="190"/>
      <c r="K22" s="191"/>
      <c r="L22" s="189"/>
      <c r="N22" s="198"/>
    </row>
    <row r="23">
      <c r="A23" s="188"/>
      <c r="B23" s="190"/>
      <c r="C23" s="190"/>
      <c r="D23" s="189"/>
      <c r="E23" s="190"/>
      <c r="F23" s="191"/>
      <c r="G23" s="190"/>
      <c r="H23" s="190"/>
      <c r="I23" s="191"/>
      <c r="J23" s="190"/>
      <c r="K23" s="191"/>
      <c r="L23" s="189"/>
      <c r="N23" s="198"/>
    </row>
    <row r="24">
      <c r="A24" s="188"/>
      <c r="B24" s="190"/>
      <c r="C24" s="190"/>
      <c r="D24" s="191"/>
      <c r="E24" s="190"/>
      <c r="F24" s="189"/>
      <c r="G24" s="190"/>
      <c r="H24" s="190"/>
      <c r="I24" s="191"/>
      <c r="J24" s="190"/>
      <c r="K24" s="191"/>
      <c r="L24" s="189"/>
      <c r="N24" s="198"/>
    </row>
    <row r="25">
      <c r="A25" s="188"/>
      <c r="B25" s="190"/>
      <c r="C25" s="190"/>
      <c r="D25" s="191"/>
      <c r="E25" s="190"/>
      <c r="F25" s="190"/>
      <c r="G25" s="190"/>
      <c r="H25" s="190"/>
      <c r="I25" s="191"/>
      <c r="J25" s="190"/>
      <c r="K25" s="191"/>
      <c r="L25" s="189"/>
      <c r="N25" s="198"/>
    </row>
    <row r="26">
      <c r="A26" s="200"/>
      <c r="B26" s="190"/>
      <c r="C26" s="190"/>
      <c r="D26" s="189"/>
      <c r="E26" s="190"/>
      <c r="F26" s="190"/>
      <c r="G26" s="190"/>
      <c r="H26" s="190"/>
      <c r="I26" s="189"/>
      <c r="J26" s="190"/>
      <c r="K26" s="190"/>
      <c r="L26" s="189"/>
      <c r="N26" s="198"/>
    </row>
    <row r="27">
      <c r="A27" s="188"/>
      <c r="B27" s="190"/>
      <c r="C27" s="191"/>
      <c r="D27" s="190"/>
      <c r="E27" s="191"/>
      <c r="F27" s="190"/>
      <c r="G27" s="190"/>
      <c r="H27" s="191"/>
      <c r="I27" s="190"/>
      <c r="J27" s="189"/>
      <c r="K27" s="190"/>
      <c r="L27" s="189"/>
      <c r="N27" s="198"/>
    </row>
    <row r="28">
      <c r="A28" s="188"/>
      <c r="B28" s="189"/>
      <c r="C28" s="190"/>
      <c r="D28" s="190"/>
      <c r="E28" s="191"/>
      <c r="F28" s="190"/>
      <c r="G28" s="191"/>
      <c r="H28" s="190"/>
      <c r="I28" s="190"/>
      <c r="J28" s="191"/>
      <c r="K28" s="190"/>
      <c r="L28" s="189"/>
      <c r="N28" s="198"/>
    </row>
    <row r="29">
      <c r="A29" s="188"/>
      <c r="B29" s="190"/>
      <c r="C29" s="191"/>
      <c r="D29" s="190"/>
      <c r="E29" s="190"/>
      <c r="F29" s="190"/>
      <c r="G29" s="190"/>
      <c r="H29" s="125"/>
      <c r="I29" s="190"/>
      <c r="J29" s="191"/>
      <c r="K29" s="190"/>
      <c r="L29" s="189"/>
      <c r="N29" s="198"/>
    </row>
    <row r="30">
      <c r="A30" s="188"/>
      <c r="B30" s="190"/>
      <c r="C30" s="191"/>
      <c r="D30" s="190"/>
      <c r="E30" s="190"/>
      <c r="F30" s="191"/>
      <c r="G30" s="190"/>
      <c r="H30" s="189"/>
      <c r="I30" s="190"/>
      <c r="J30" s="190"/>
      <c r="K30" s="191"/>
      <c r="L30" s="189"/>
      <c r="N30" s="176"/>
    </row>
  </sheetData>
  <mergeCells count="2">
    <mergeCell ref="A11:J11"/>
    <mergeCell ref="A20:G21"/>
  </mergeCells>
  <dataValidations>
    <dataValidation type="list" allowBlank="1" showErrorMessage="1" sqref="L2:L10 L13">
      <formula1>"Sword,Bow/Crossbow,Instrument,Polearms,Axe/Hammer,Magic,Dagger,Special,Firearm"</formula1>
    </dataValidation>
  </dataValidations>
  <drawing r:id="rId1"/>
</worksheet>
</file>